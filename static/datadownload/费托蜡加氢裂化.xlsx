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煤制油数据库\"/>
    </mc:Choice>
  </mc:AlternateContent>
  <xr:revisionPtr revIDLastSave="0" documentId="13_ncr:1_{798D8778-FE67-4749-97E6-E4BF616784EE}" xr6:coauthVersionLast="47" xr6:coauthVersionMax="47" xr10:uidLastSave="{00000000-0000-0000-0000-000000000000}"/>
  <bookViews>
    <workbookView xWindow="-103" yWindow="-103" windowWidth="33120" windowHeight="21429" tabRatio="461" xr2:uid="{00000000-000D-0000-FFFF-FFFF00000000}"/>
  </bookViews>
  <sheets>
    <sheet name="总表" sheetId="1" r:id="rId1"/>
    <sheet name="Sheet1" sheetId="5" r:id="rId2"/>
    <sheet name="汇总" sheetId="4" r:id="rId3"/>
    <sheet name="多余竖列" sheetId="2" state="hidden" r:id="rId4"/>
    <sheet name="多余横列" sheetId="3" state="hidden" r:id="rId5"/>
  </sheets>
  <definedNames>
    <definedName name="_xlnm._FilterDatabase" localSheetId="0" hidden="1">总表!$R$1:$BH$1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B4" i="5" s="1"/>
  <c r="A5" i="5"/>
  <c r="B5" i="5" s="1"/>
  <c r="A6" i="5"/>
  <c r="B6" i="5" s="1"/>
  <c r="A3" i="5"/>
  <c r="B3" i="5" s="1"/>
  <c r="A2" i="5"/>
  <c r="Y14" i="2"/>
  <c r="Y13" i="2"/>
  <c r="Y12" i="2"/>
  <c r="Y11" i="2"/>
  <c r="Y10" i="2"/>
  <c r="Y9" i="2"/>
  <c r="Y8" i="2"/>
  <c r="Y7" i="2"/>
  <c r="Y6" i="2"/>
  <c r="Y5" i="2"/>
  <c r="Y4" i="2"/>
  <c r="Y3" i="2"/>
  <c r="Y2" i="2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6" i="5" l="1"/>
  <c r="C5" i="5"/>
  <c r="C4" i="5"/>
  <c r="C3" i="5"/>
</calcChain>
</file>

<file path=xl/sharedStrings.xml><?xml version="1.0" encoding="utf-8"?>
<sst xmlns="http://schemas.openxmlformats.org/spreadsheetml/2006/main" count="190" uniqueCount="174">
  <si>
    <t>焙烧时间（h）</t>
  </si>
  <si>
    <t>温度℃</t>
  </si>
  <si>
    <t>压强Mpa</t>
  </si>
  <si>
    <t>空速h-1</t>
  </si>
  <si>
    <t>时间h</t>
  </si>
  <si>
    <t>粒径mesh</t>
  </si>
  <si>
    <t>K含量</t>
  </si>
  <si>
    <t>Mn含量</t>
  </si>
  <si>
    <t>S含量</t>
  </si>
  <si>
    <t>SiO2含量</t>
  </si>
  <si>
    <t>Cu含量</t>
  </si>
  <si>
    <t>Ni含量</t>
  </si>
  <si>
    <t>Zr含量</t>
  </si>
  <si>
    <t>Al含量</t>
  </si>
  <si>
    <t>Zn含量</t>
  </si>
  <si>
    <t>V含量</t>
  </si>
  <si>
    <t>Li含量</t>
  </si>
  <si>
    <t>Na含量</t>
  </si>
  <si>
    <t>Ca含量</t>
  </si>
  <si>
    <t>Rb含量</t>
  </si>
  <si>
    <t>Cs含量</t>
  </si>
  <si>
    <t>Mg含量</t>
  </si>
  <si>
    <t>Sr含量</t>
  </si>
  <si>
    <t>Ba含量</t>
  </si>
  <si>
    <t>B含量</t>
  </si>
  <si>
    <t>Ce含量</t>
  </si>
  <si>
    <t>Mo含量</t>
  </si>
  <si>
    <t>氢碳化合物C1选择性(wt%)</t>
  </si>
  <si>
    <t>C2-4选择性(wt%)</t>
  </si>
  <si>
    <t>C5+选择性(wt%)</t>
  </si>
  <si>
    <t>C5-11选择性(wt%)</t>
  </si>
  <si>
    <t>文献</t>
  </si>
  <si>
    <t>作者</t>
  </si>
  <si>
    <t>开始标号</t>
  </si>
  <si>
    <t>结束标号</t>
  </si>
  <si>
    <t>论文发布时间</t>
  </si>
  <si>
    <t>F-T合成Fe-Mn催化剂预处理及活性相研究</t>
  </si>
  <si>
    <t>定明月</t>
  </si>
  <si>
    <t>费托合成热力学、动力学研究及产物选择性控制</t>
  </si>
  <si>
    <t>高军虎</t>
  </si>
  <si>
    <t>F-T合成铁基催化剂结构控制研究</t>
  </si>
  <si>
    <t>申能美</t>
  </si>
  <si>
    <t>浆态床F-T合成FeCuKSiO2催化剂预处理研究</t>
  </si>
  <si>
    <t>郝庆兰</t>
  </si>
  <si>
    <t>新型Fe-Mn 催化剂的制备化学与F-T 合成反应性能研究</t>
  </si>
  <si>
    <t>李廷真</t>
  </si>
  <si>
    <t>浆态床F-T 合成Fe-Mn 催化剂的基础研究</t>
  </si>
  <si>
    <t>陶志超</t>
  </si>
  <si>
    <t>新型铁基催化剂的制备表征及F-T合成反应性能研究</t>
  </si>
  <si>
    <t>吴宝山</t>
  </si>
  <si>
    <t>FeMnSiO2催化剂结构性质、相互作用及F-T合成性能研究</t>
  </si>
  <si>
    <t>张成华</t>
  </si>
  <si>
    <t>Fe-Mn催化剂的制备、表征及其F-T合成</t>
  </si>
  <si>
    <t>杨勇</t>
  </si>
  <si>
    <t>碱性金属对F-T 合成铁基催化剂的助剂作用研究</t>
  </si>
  <si>
    <t>李吉凡</t>
  </si>
  <si>
    <t>新型铁基催化剂的制备化学及F-T合成反应性能研究</t>
  </si>
  <si>
    <t>马彩莲</t>
  </si>
  <si>
    <t>铁基费托合成催化剂相变调控及反应性能研究</t>
  </si>
  <si>
    <t>高芳芳</t>
  </si>
  <si>
    <t>Fe/Mo2C的制备、表征及其CO加氢反应性能</t>
  </si>
  <si>
    <t>莫涛</t>
  </si>
  <si>
    <t>费托合成铁硅催化剂结构性能研究</t>
  </si>
  <si>
    <t>常强</t>
  </si>
  <si>
    <t>铁基FT 合成催化剂助剂效应（SiO2、Mn）研究</t>
  </si>
  <si>
    <t>张昱</t>
  </si>
  <si>
    <t>钾助剂对铁基催化剂活化行为和费托反应性能 的作用 研究</t>
  </si>
  <si>
    <t>牛立伟</t>
  </si>
  <si>
    <t>硼对铁基费托合成催化剂的助剂作用研究</t>
  </si>
  <si>
    <t xml:space="preserve"> 万红柳</t>
  </si>
  <si>
    <t>Fe-Mo 催化剂相互作用及F-T 合成性能研究</t>
  </si>
  <si>
    <t>秦绍东</t>
  </si>
  <si>
    <t>Fe基F-T合成催化剂载体效应研究</t>
  </si>
  <si>
    <t>青明</t>
  </si>
  <si>
    <t>结构助剂对F-T 合成Fe 基催化剂的影响研究</t>
  </si>
  <si>
    <t>索海云</t>
  </si>
  <si>
    <t>浆态床合成低碳烯烃 Fe-Mn 催化剂研究</t>
  </si>
  <si>
    <t>汪根存</t>
  </si>
  <si>
    <t>标号</t>
  </si>
  <si>
    <t>初始温度</t>
  </si>
  <si>
    <t>升温速率℃/min</t>
  </si>
  <si>
    <t>加热到℃</t>
  </si>
  <si>
    <t>保持时间h</t>
  </si>
  <si>
    <t>Fresh物相α-Fe2O3(%)</t>
  </si>
  <si>
    <t>Fresh物相(spm)Fe3+(%)</t>
  </si>
  <si>
    <t>CO转化率(mol%)TOS:长时间h</t>
  </si>
  <si>
    <t>CO+H2转化率(mol%)TOS:长时间h</t>
  </si>
  <si>
    <t>C1选择性(wt%)TOS:长时间h</t>
  </si>
  <si>
    <t>C2-4选择性(wt%)TOS:长时间h</t>
  </si>
  <si>
    <t>C5-11选择性(wt%)TOS:长时间h</t>
  </si>
  <si>
    <t>C12+选择性(wt%)TOS:长时间h</t>
  </si>
  <si>
    <t>C2-4烯烃(wt%)TOS:长时间h</t>
  </si>
  <si>
    <t>C5-11烯烃(wt%)TOS:长时间h</t>
  </si>
  <si>
    <t>C12+选择性(wt%)</t>
  </si>
  <si>
    <t>C2-4烯烃(wt%)</t>
  </si>
  <si>
    <t>C5-11烯烃(wt%)</t>
  </si>
  <si>
    <t>反应后比表面积m2/g</t>
  </si>
  <si>
    <t>反应后孔容cm3/g</t>
  </si>
  <si>
    <t>反应后平均孔径nm</t>
  </si>
  <si>
    <t>Reaction for 150h物相Fe3O4(A)(%)</t>
  </si>
  <si>
    <t>Reaction for 150h物相Fe3O4(B)(%)</t>
  </si>
  <si>
    <t>Reaction for 150h物相Fe3O4(%)</t>
  </si>
  <si>
    <t>Reaction for 150h物相χ-Fe5C2(%)</t>
  </si>
  <si>
    <t>Reaction for 150h物相ε’-Fe2.2C(%)</t>
  </si>
  <si>
    <t>Reaction for 150h物相(spm)Fe3+(%)</t>
  </si>
  <si>
    <t>Reaction for 150h物相(spm)Fe2+(%)</t>
  </si>
  <si>
    <t>After reduction物相Fe3O4(A)(%)</t>
  </si>
  <si>
    <t>After reduction物相Fe3O4(B)(%)</t>
  </si>
  <si>
    <t>After Reaction物相Fe3O4(A)(%)</t>
  </si>
  <si>
    <t>After Reaction物相Fe3O4(B)(%)</t>
  </si>
  <si>
    <t>室温</t>
  </si>
  <si>
    <t>60.0</t>
  </si>
  <si>
    <t>10.0</t>
  </si>
  <si>
    <t>12.0</t>
  </si>
  <si>
    <t>1NL/gcat.h</t>
  </si>
  <si>
    <t>杂志名称</t>
    <phoneticPr fontId="10" type="noConversion"/>
  </si>
  <si>
    <t>通讯作者</t>
    <phoneticPr fontId="10" type="noConversion"/>
  </si>
  <si>
    <t>文献</t>
    <phoneticPr fontId="10" type="noConversion"/>
  </si>
  <si>
    <t>固定床</t>
    <phoneticPr fontId="10" type="noConversion"/>
  </si>
  <si>
    <t>反应后BET m2/g</t>
    <phoneticPr fontId="10" type="noConversion"/>
  </si>
  <si>
    <t>反应后孔容cm3/g</t>
    <phoneticPr fontId="10" type="noConversion"/>
  </si>
  <si>
    <t>反应后孔径nm</t>
    <phoneticPr fontId="10" type="noConversion"/>
  </si>
  <si>
    <t>碳氢化合物总选择性</t>
  </si>
  <si>
    <t>碳平衡</t>
    <phoneticPr fontId="10" type="noConversion"/>
  </si>
  <si>
    <t>右侧为分项选择性</t>
    <phoneticPr fontId="15" type="noConversion"/>
  </si>
  <si>
    <r>
      <t>n</t>
    </r>
    <r>
      <rPr>
        <sz val="11"/>
        <color theme="1"/>
        <rFont val="等线"/>
        <family val="3"/>
        <charset val="134"/>
        <scheme val="minor"/>
      </rPr>
      <t>Fe2O3</t>
    </r>
    <phoneticPr fontId="15" type="noConversion"/>
  </si>
  <si>
    <r>
      <t>1</t>
    </r>
    <r>
      <rPr>
        <sz val="11"/>
        <color theme="1"/>
        <rFont val="等线"/>
        <family val="3"/>
        <charset val="134"/>
        <scheme val="minor"/>
      </rPr>
      <t>Rh</t>
    </r>
    <phoneticPr fontId="15" type="noConversion"/>
  </si>
  <si>
    <t>2Rh</t>
    <phoneticPr fontId="15" type="noConversion"/>
  </si>
  <si>
    <t>7Rh</t>
    <phoneticPr fontId="15" type="noConversion"/>
  </si>
  <si>
    <t>5Rh</t>
    <phoneticPr fontId="15" type="noConversion"/>
  </si>
  <si>
    <t>Rh含量</t>
    <phoneticPr fontId="10" type="noConversion"/>
  </si>
  <si>
    <t>Co含量</t>
    <phoneticPr fontId="10" type="noConversion"/>
  </si>
  <si>
    <t>干燥时间（h）</t>
    <phoneticPr fontId="10" type="noConversion"/>
  </si>
  <si>
    <t>干燥温度(℃)</t>
    <phoneticPr fontId="10" type="noConversion"/>
  </si>
  <si>
    <t>焙烧温度(℃)</t>
    <phoneticPr fontId="10" type="noConversion"/>
  </si>
  <si>
    <t>还原条件气氛</t>
    <phoneticPr fontId="10" type="noConversion"/>
  </si>
  <si>
    <t>H2</t>
    <phoneticPr fontId="10" type="noConversion"/>
  </si>
  <si>
    <t>还原温度℃</t>
    <phoneticPr fontId="10" type="noConversion"/>
  </si>
  <si>
    <t>空速（LHSV）h-1</t>
    <phoneticPr fontId="10" type="noConversion"/>
  </si>
  <si>
    <t>反应原料</t>
    <phoneticPr fontId="10" type="noConversion"/>
  </si>
  <si>
    <t>n-C22</t>
    <phoneticPr fontId="10" type="noConversion"/>
  </si>
  <si>
    <t>反应气氛</t>
    <phoneticPr fontId="10" type="noConversion"/>
  </si>
  <si>
    <t>小晶粒Ｙ分子筛催化剂在费托蜡制航煤中的应用</t>
    <phoneticPr fontId="10" type="noConversion"/>
  </si>
  <si>
    <t>高等化学工程学报</t>
    <phoneticPr fontId="10" type="noConversion"/>
  </si>
  <si>
    <t>魏强</t>
    <phoneticPr fontId="10" type="noConversion"/>
  </si>
  <si>
    <t>费托蜡加氢裂化</t>
    <phoneticPr fontId="10" type="noConversion"/>
  </si>
  <si>
    <r>
      <t>０.３Ｐｔ／（Ｙ２０</t>
    </r>
    <r>
      <rPr>
        <sz val="11"/>
        <color theme="1"/>
        <rFont val="Segoe UI Symbol"/>
        <family val="2"/>
      </rPr>
      <t>⁃</t>
    </r>
    <r>
      <rPr>
        <sz val="11"/>
        <color theme="1"/>
        <rFont val="等线"/>
        <charset val="134"/>
        <scheme val="minor"/>
      </rPr>
      <t>２４
＋ＡＳＡ）</t>
    </r>
    <phoneticPr fontId="10" type="noConversion"/>
  </si>
  <si>
    <r>
      <t>Pt含量（%</t>
    </r>
    <r>
      <rPr>
        <b/>
        <sz val="11"/>
        <color theme="1"/>
        <rFont val="等线"/>
        <charset val="134"/>
        <scheme val="minor"/>
      </rPr>
      <t>）</t>
    </r>
    <phoneticPr fontId="10" type="noConversion"/>
  </si>
  <si>
    <t>反应器类型</t>
    <phoneticPr fontId="10" type="noConversion"/>
  </si>
  <si>
    <t>反应物转化率(mol%)</t>
    <phoneticPr fontId="10" type="noConversion"/>
  </si>
  <si>
    <t>C1-C4产物收率</t>
    <phoneticPr fontId="10" type="noConversion"/>
  </si>
  <si>
    <t>C5-C8产物收率</t>
    <phoneticPr fontId="10" type="noConversion"/>
  </si>
  <si>
    <t>C18-C34产物收率</t>
    <phoneticPr fontId="10" type="noConversion"/>
  </si>
  <si>
    <t>富含介孔Ni/W-USY/Al2O3催化剂的费托蜡加氢裂化性能</t>
    <phoneticPr fontId="10" type="noConversion"/>
  </si>
  <si>
    <t>燃料化学学报</t>
    <phoneticPr fontId="10" type="noConversion"/>
  </si>
  <si>
    <t>黄传峰</t>
    <phoneticPr fontId="10" type="noConversion"/>
  </si>
  <si>
    <t>Ni/W-USY/Al2O3</t>
  </si>
  <si>
    <t>等体积浸渍法</t>
    <phoneticPr fontId="10" type="noConversion"/>
  </si>
  <si>
    <t>硫化</t>
    <phoneticPr fontId="10" type="noConversion"/>
  </si>
  <si>
    <t>低温费托合成蜡</t>
    <phoneticPr fontId="10" type="noConversion"/>
  </si>
  <si>
    <t>氢油体积比</t>
    <phoneticPr fontId="10" type="noConversion"/>
  </si>
  <si>
    <t>USY</t>
    <phoneticPr fontId="10" type="noConversion"/>
  </si>
  <si>
    <t>W含量</t>
    <phoneticPr fontId="10" type="noConversion"/>
  </si>
  <si>
    <t>C9-C17产物收率</t>
    <phoneticPr fontId="10" type="noConversion"/>
  </si>
  <si>
    <t>不同文献C数划分不一样，统一较为困难</t>
    <phoneticPr fontId="10" type="noConversion"/>
  </si>
  <si>
    <t>录入员（姓名首字母缩写）</t>
    <phoneticPr fontId="18" type="noConversion"/>
  </si>
  <si>
    <t>反应前BET m2/g</t>
    <phoneticPr fontId="10" type="noConversion"/>
  </si>
  <si>
    <t>反应前孔容cm3/g</t>
    <phoneticPr fontId="10" type="noConversion"/>
  </si>
  <si>
    <t>反应前孔径nm</t>
    <phoneticPr fontId="10" type="noConversion"/>
  </si>
  <si>
    <t>分子筛名称</t>
    <phoneticPr fontId="10" type="noConversion"/>
  </si>
  <si>
    <t>硅铝比</t>
    <phoneticPr fontId="10" type="noConversion"/>
  </si>
  <si>
    <t>反应类型（都填Hydrocracking of FTO oil）</t>
    <phoneticPr fontId="10" type="noConversion"/>
  </si>
  <si>
    <t>催化剂代号</t>
    <phoneticPr fontId="10" type="noConversion"/>
  </si>
  <si>
    <t>制备方法（引入金属方法，填英文全称）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</si>
</sst>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.0_);[Red]\(0.0\)"/>
  </numFmts>
  <fonts count="19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  <font>
      <b/>
      <sz val="16"/>
      <color theme="1"/>
      <name val="Microsoft YaHei"/>
      <family val="2"/>
      <charset val="134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5" fillId="4" borderId="16" xfId="0" applyNumberFormat="1" applyFont="1" applyFill="1" applyBorder="1" applyAlignment="1">
      <alignment horizontal="center" vertical="center"/>
    </xf>
    <xf numFmtId="176" fontId="4" fillId="3" borderId="12" xfId="0" applyNumberFormat="1" applyFont="1" applyFill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7" fontId="4" fillId="3" borderId="12" xfId="0" applyNumberFormat="1" applyFont="1" applyFill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6" fontId="4" fillId="3" borderId="17" xfId="0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1" fillId="4" borderId="14" xfId="0" applyNumberFormat="1" applyFont="1" applyFill="1" applyBorder="1" applyAlignment="1">
      <alignment horizontal="center" vertical="center"/>
    </xf>
    <xf numFmtId="176" fontId="11" fillId="4" borderId="12" xfId="0" applyNumberFormat="1" applyFont="1" applyFill="1" applyBorder="1" applyAlignment="1">
      <alignment horizontal="center" vertical="center"/>
    </xf>
    <xf numFmtId="176" fontId="14" fillId="3" borderId="14" xfId="0" applyNumberFormat="1" applyFont="1" applyFill="1" applyBorder="1" applyAlignment="1">
      <alignment horizontal="center" vertical="center"/>
    </xf>
    <xf numFmtId="176" fontId="11" fillId="3" borderId="12" xfId="0" applyNumberFormat="1" applyFont="1" applyFill="1" applyBorder="1" applyAlignment="1">
      <alignment horizontal="center" vertical="center"/>
    </xf>
    <xf numFmtId="176" fontId="14" fillId="3" borderId="12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0" xfId="0" applyFont="1"/>
    <xf numFmtId="176" fontId="12" fillId="0" borderId="12" xfId="0" applyNumberFormat="1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48556"/>
  <sheetViews>
    <sheetView tabSelected="1" topLeftCell="AQ1" zoomScale="90" zoomScaleNormal="90" workbookViewId="0">
      <pane ySplit="1" topLeftCell="A2" activePane="bottomLeft" state="frozen"/>
      <selection pane="bottomLeft" activeCell="K18" sqref="K18"/>
    </sheetView>
  </sheetViews>
  <sheetFormatPr defaultColWidth="8.85546875" defaultRowHeight="14.15"/>
  <cols>
    <col min="1" max="1" width="8.85546875" style="1"/>
    <col min="2" max="2" width="54.78515625" style="1" customWidth="1"/>
    <col min="3" max="3" width="29.7109375" style="1" customWidth="1"/>
    <col min="4" max="4" width="22.28515625" style="1" customWidth="1"/>
    <col min="5" max="5" width="15.140625" style="1" customWidth="1"/>
    <col min="6" max="6" width="38" style="1" customWidth="1"/>
    <col min="7" max="12" width="24.42578125" style="1" customWidth="1"/>
    <col min="13" max="13" width="15.7109375" style="2" customWidth="1"/>
    <col min="14" max="14" width="17.5" style="1" customWidth="1"/>
    <col min="15" max="17" width="9.7109375" style="1" customWidth="1"/>
    <col min="18" max="18" width="16.85546875" style="2" customWidth="1"/>
    <col min="19" max="22" width="9.7109375" style="1" customWidth="1"/>
    <col min="23" max="23" width="26.42578125" style="1" customWidth="1"/>
    <col min="24" max="24" width="15.7109375" style="5" customWidth="1"/>
    <col min="25" max="25" width="16.85546875" style="3" customWidth="1"/>
    <col min="26" max="26" width="13.85546875" style="3" customWidth="1"/>
    <col min="27" max="27" width="9.5703125" style="27" customWidth="1"/>
    <col min="28" max="28" width="19.28515625" style="5" customWidth="1"/>
    <col min="29" max="29" width="18" style="5" customWidth="1"/>
    <col min="30" max="32" width="26" style="5" customWidth="1"/>
    <col min="33" max="33" width="13.2109375" style="5" customWidth="1"/>
    <col min="34" max="35" width="9.7109375" style="54" customWidth="1"/>
    <col min="36" max="40" width="9.7109375" style="3" customWidth="1"/>
    <col min="41" max="45" width="9.7109375" style="4" customWidth="1"/>
    <col min="46" max="57" width="9.7109375" style="3" customWidth="1"/>
    <col min="58" max="58" width="20.7109375" style="5" customWidth="1"/>
    <col min="59" max="60" width="20.7109375" style="3" customWidth="1"/>
    <col min="61" max="61" width="21" style="1" customWidth="1"/>
    <col min="62" max="62" width="36.5" style="1" customWidth="1"/>
    <col min="63" max="63" width="25.28515625" style="1" customWidth="1"/>
    <col min="64" max="16384" width="8.85546875" style="1"/>
  </cols>
  <sheetData>
    <row r="1" spans="1:63" s="25" customFormat="1" ht="23.6" thickBot="1">
      <c r="A1" s="70" t="s">
        <v>165</v>
      </c>
      <c r="B1" s="52" t="s">
        <v>117</v>
      </c>
      <c r="C1" s="52" t="s">
        <v>115</v>
      </c>
      <c r="D1" s="52" t="s">
        <v>116</v>
      </c>
      <c r="E1" s="71" t="s">
        <v>171</v>
      </c>
      <c r="F1" s="67" t="s">
        <v>172</v>
      </c>
      <c r="G1" s="64" t="s">
        <v>173</v>
      </c>
      <c r="H1" s="64" t="s">
        <v>133</v>
      </c>
      <c r="I1" s="64" t="s">
        <v>132</v>
      </c>
      <c r="J1" s="64" t="s">
        <v>134</v>
      </c>
      <c r="K1" s="29" t="s">
        <v>0</v>
      </c>
      <c r="L1" s="64" t="s">
        <v>148</v>
      </c>
      <c r="M1" s="65" t="s">
        <v>135</v>
      </c>
      <c r="N1" s="67" t="s">
        <v>137</v>
      </c>
      <c r="O1" s="28" t="s">
        <v>2</v>
      </c>
      <c r="P1" s="28" t="s">
        <v>3</v>
      </c>
      <c r="Q1" s="28" t="s">
        <v>4</v>
      </c>
      <c r="R1" s="65" t="s">
        <v>139</v>
      </c>
      <c r="S1" s="28" t="s">
        <v>1</v>
      </c>
      <c r="T1" s="67" t="s">
        <v>141</v>
      </c>
      <c r="U1" s="28" t="s">
        <v>2</v>
      </c>
      <c r="V1" s="67" t="s">
        <v>160</v>
      </c>
      <c r="W1" s="67" t="s">
        <v>138</v>
      </c>
      <c r="X1" s="56" t="s">
        <v>166</v>
      </c>
      <c r="Y1" s="57" t="s">
        <v>167</v>
      </c>
      <c r="Z1" s="57" t="s">
        <v>168</v>
      </c>
      <c r="AA1" s="38" t="s">
        <v>5</v>
      </c>
      <c r="AB1" s="56" t="s">
        <v>119</v>
      </c>
      <c r="AC1" s="57" t="s">
        <v>120</v>
      </c>
      <c r="AD1" s="57" t="s">
        <v>121</v>
      </c>
      <c r="AE1" s="57" t="s">
        <v>170</v>
      </c>
      <c r="AF1" s="57" t="s">
        <v>169</v>
      </c>
      <c r="AG1" s="58" t="s">
        <v>147</v>
      </c>
      <c r="AH1" s="59" t="s">
        <v>130</v>
      </c>
      <c r="AI1" s="59" t="s">
        <v>131</v>
      </c>
      <c r="AJ1" s="39" t="s">
        <v>6</v>
      </c>
      <c r="AK1" s="39" t="s">
        <v>7</v>
      </c>
      <c r="AL1" s="39" t="s">
        <v>8</v>
      </c>
      <c r="AM1" s="39" t="s">
        <v>9</v>
      </c>
      <c r="AN1" s="39" t="s">
        <v>10</v>
      </c>
      <c r="AO1" s="41" t="s">
        <v>11</v>
      </c>
      <c r="AP1" s="41" t="s">
        <v>12</v>
      </c>
      <c r="AQ1" s="41" t="s">
        <v>13</v>
      </c>
      <c r="AR1" s="41" t="s">
        <v>14</v>
      </c>
      <c r="AS1" s="41" t="s">
        <v>15</v>
      </c>
      <c r="AT1" s="39" t="s">
        <v>16</v>
      </c>
      <c r="AU1" s="39" t="s">
        <v>17</v>
      </c>
      <c r="AV1" s="39" t="s">
        <v>18</v>
      </c>
      <c r="AW1" s="39" t="s">
        <v>19</v>
      </c>
      <c r="AX1" s="39" t="s">
        <v>20</v>
      </c>
      <c r="AY1" s="39" t="s">
        <v>21</v>
      </c>
      <c r="AZ1" s="39" t="s">
        <v>22</v>
      </c>
      <c r="BA1" s="39" t="s">
        <v>23</v>
      </c>
      <c r="BB1" s="39" t="s">
        <v>24</v>
      </c>
      <c r="BC1" s="39" t="s">
        <v>25</v>
      </c>
      <c r="BD1" s="60" t="s">
        <v>162</v>
      </c>
      <c r="BE1" s="39" t="s">
        <v>26</v>
      </c>
      <c r="BF1" s="58" t="s">
        <v>149</v>
      </c>
      <c r="BG1" s="60" t="s">
        <v>123</v>
      </c>
      <c r="BH1" s="59" t="s">
        <v>150</v>
      </c>
      <c r="BI1" s="61" t="s">
        <v>151</v>
      </c>
      <c r="BJ1" s="61" t="s">
        <v>163</v>
      </c>
      <c r="BK1" s="61" t="s">
        <v>152</v>
      </c>
    </row>
    <row r="2" spans="1:63" ht="17.149999999999999">
      <c r="B2" s="55" t="s">
        <v>142</v>
      </c>
      <c r="C2" s="55" t="s">
        <v>143</v>
      </c>
      <c r="D2" s="55" t="s">
        <v>144</v>
      </c>
      <c r="E2" s="55" t="s">
        <v>145</v>
      </c>
      <c r="F2" s="30" t="s">
        <v>146</v>
      </c>
      <c r="G2" s="53" t="s">
        <v>157</v>
      </c>
      <c r="H2" s="30">
        <v>100</v>
      </c>
      <c r="I2" s="30">
        <v>12</v>
      </c>
      <c r="J2" s="30">
        <v>400</v>
      </c>
      <c r="K2" s="30">
        <v>5</v>
      </c>
      <c r="L2" s="30" t="s">
        <v>118</v>
      </c>
      <c r="M2" s="66" t="s">
        <v>136</v>
      </c>
      <c r="N2" s="1">
        <v>400</v>
      </c>
      <c r="O2" s="1">
        <v>0.1</v>
      </c>
      <c r="P2" s="1">
        <v>1000</v>
      </c>
      <c r="Q2" s="1">
        <v>4</v>
      </c>
      <c r="R2" s="66" t="s">
        <v>140</v>
      </c>
      <c r="S2" s="1">
        <v>260</v>
      </c>
      <c r="T2" s="55" t="s">
        <v>136</v>
      </c>
      <c r="U2" s="1">
        <v>4</v>
      </c>
      <c r="W2" s="1">
        <v>2000</v>
      </c>
      <c r="X2" s="5">
        <v>91</v>
      </c>
      <c r="Y2" s="3">
        <v>0.23</v>
      </c>
      <c r="Z2" s="3">
        <v>10.119999999999999</v>
      </c>
      <c r="AG2" s="5">
        <v>0.35</v>
      </c>
      <c r="BF2" s="5">
        <v>42.95</v>
      </c>
    </row>
    <row r="3" spans="1:63">
      <c r="B3" s="68" t="s">
        <v>153</v>
      </c>
      <c r="C3" s="55" t="s">
        <v>154</v>
      </c>
      <c r="D3" s="55" t="s">
        <v>155</v>
      </c>
      <c r="E3" s="55" t="s">
        <v>145</v>
      </c>
      <c r="F3" s="1" t="s">
        <v>156</v>
      </c>
      <c r="G3" s="53" t="s">
        <v>157</v>
      </c>
      <c r="L3" s="30" t="s">
        <v>118</v>
      </c>
      <c r="M3" s="66" t="s">
        <v>158</v>
      </c>
      <c r="R3" s="66" t="s">
        <v>159</v>
      </c>
      <c r="S3" s="1">
        <v>355</v>
      </c>
      <c r="T3" s="55" t="s">
        <v>136</v>
      </c>
      <c r="U3" s="1">
        <v>4</v>
      </c>
      <c r="V3" s="1">
        <v>1000</v>
      </c>
      <c r="AF3" s="69" t="s">
        <v>161</v>
      </c>
      <c r="AO3" s="4">
        <v>7</v>
      </c>
      <c r="AQ3" s="4">
        <v>55</v>
      </c>
      <c r="BD3" s="3">
        <v>23</v>
      </c>
    </row>
    <row r="5" spans="1:63">
      <c r="F5" s="32"/>
      <c r="G5" s="32"/>
      <c r="H5" s="32"/>
      <c r="I5" s="32"/>
      <c r="J5" s="32"/>
      <c r="K5" s="32"/>
      <c r="L5" s="32"/>
    </row>
    <row r="21" spans="17:17">
      <c r="Q21" s="35"/>
    </row>
    <row r="25" spans="17:17">
      <c r="Q25" s="35"/>
    </row>
    <row r="41" spans="13:13">
      <c r="M41" s="33"/>
    </row>
    <row r="42" spans="13:13">
      <c r="M42" s="33"/>
    </row>
    <row r="43" spans="13:13">
      <c r="M43" s="33"/>
    </row>
    <row r="44" spans="13:13">
      <c r="M44" s="33"/>
    </row>
    <row r="47" spans="13:13">
      <c r="M47" s="33"/>
    </row>
    <row r="48" spans="13:13">
      <c r="M48" s="33"/>
    </row>
    <row r="49" spans="13:60">
      <c r="M49" s="33"/>
    </row>
    <row r="50" spans="13:60">
      <c r="M50" s="33"/>
    </row>
    <row r="53" spans="13:60">
      <c r="M53" s="33"/>
    </row>
    <row r="54" spans="13:60">
      <c r="M54" s="33"/>
    </row>
    <row r="55" spans="13:60">
      <c r="M55" s="33"/>
    </row>
    <row r="56" spans="13:60">
      <c r="M56" s="33"/>
    </row>
    <row r="62" spans="13:60" s="26" customFormat="1">
      <c r="M62" s="31"/>
      <c r="R62" s="31"/>
      <c r="X62" s="36"/>
      <c r="Y62" s="37"/>
      <c r="Z62" s="37"/>
      <c r="AA62" s="40"/>
      <c r="AB62" s="36"/>
      <c r="AC62" s="36"/>
      <c r="AD62" s="36"/>
      <c r="AE62" s="36"/>
      <c r="AF62" s="36"/>
      <c r="AG62" s="36"/>
      <c r="AH62" s="63"/>
      <c r="AI62" s="63"/>
      <c r="AJ62" s="37"/>
      <c r="AK62" s="37"/>
      <c r="AL62" s="37"/>
      <c r="AM62" s="37"/>
      <c r="AN62" s="37"/>
      <c r="AO62" s="42"/>
      <c r="AP62" s="42"/>
      <c r="AQ62" s="42"/>
      <c r="AR62" s="42"/>
      <c r="AS62" s="42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6"/>
      <c r="BG62" s="37"/>
      <c r="BH62" s="37"/>
    </row>
    <row r="68" spans="13:60">
      <c r="AJ68" s="44"/>
      <c r="AK68" s="44"/>
      <c r="AL68" s="44"/>
      <c r="AM68" s="44"/>
      <c r="AN68" s="44"/>
      <c r="AO68" s="46"/>
      <c r="AP68" s="46"/>
      <c r="AQ68" s="46"/>
      <c r="AR68" s="46"/>
      <c r="AS68" s="46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69" spans="13:60">
      <c r="AJ69" s="44"/>
      <c r="AK69" s="44"/>
      <c r="AL69" s="44"/>
      <c r="AM69" s="44"/>
      <c r="AN69" s="44"/>
      <c r="AO69" s="46"/>
      <c r="AP69" s="46"/>
      <c r="AQ69" s="46"/>
      <c r="AR69" s="46"/>
      <c r="AS69" s="46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</row>
    <row r="70" spans="13:60">
      <c r="AJ70" s="44"/>
      <c r="AK70" s="44"/>
      <c r="AL70" s="44"/>
      <c r="AM70" s="44"/>
      <c r="AN70" s="44"/>
      <c r="AO70" s="46"/>
      <c r="AP70" s="46"/>
      <c r="AQ70" s="46"/>
      <c r="AR70" s="46"/>
      <c r="AS70" s="46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7" spans="13:60" s="26" customFormat="1">
      <c r="M77" s="31"/>
      <c r="R77" s="31"/>
      <c r="X77" s="36"/>
      <c r="Y77" s="37"/>
      <c r="Z77" s="37"/>
      <c r="AA77" s="40"/>
      <c r="AB77" s="36"/>
      <c r="AC77" s="36"/>
      <c r="AD77" s="36"/>
      <c r="AE77" s="36"/>
      <c r="AF77" s="36"/>
      <c r="AG77" s="36"/>
      <c r="AH77" s="63"/>
      <c r="AI77" s="63"/>
      <c r="AJ77" s="37"/>
      <c r="AK77" s="37"/>
      <c r="AL77" s="37"/>
      <c r="AM77" s="37"/>
      <c r="AN77" s="37"/>
      <c r="AO77" s="42"/>
      <c r="AP77" s="42"/>
      <c r="AQ77" s="42"/>
      <c r="AR77" s="42"/>
      <c r="AS77" s="42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6"/>
      <c r="BG77" s="37"/>
      <c r="BH77" s="37"/>
    </row>
    <row r="79" spans="13:60">
      <c r="AG79" s="45"/>
      <c r="AJ79" s="44"/>
      <c r="AK79" s="44"/>
      <c r="AL79" s="44"/>
      <c r="AM79" s="44"/>
      <c r="AN79" s="47"/>
      <c r="AO79" s="48"/>
      <c r="AP79" s="48"/>
      <c r="AQ79" s="48"/>
      <c r="AR79" s="48"/>
      <c r="AS79" s="48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</row>
    <row r="80" spans="13:60">
      <c r="AG80" s="45"/>
      <c r="AJ80" s="44"/>
      <c r="AK80" s="44"/>
      <c r="AL80" s="44"/>
      <c r="AM80" s="44"/>
      <c r="AN80" s="47"/>
      <c r="AO80" s="48"/>
      <c r="AP80" s="48"/>
      <c r="AQ80" s="48"/>
      <c r="AR80" s="48"/>
      <c r="AS80" s="48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</row>
    <row r="81" spans="33:57">
      <c r="AG81" s="45"/>
      <c r="AJ81" s="44"/>
      <c r="AK81" s="44"/>
      <c r="AL81" s="44"/>
      <c r="AM81" s="44"/>
      <c r="AN81" s="47"/>
      <c r="AO81" s="48"/>
      <c r="AP81" s="48"/>
      <c r="AQ81" s="48"/>
      <c r="AR81" s="48"/>
      <c r="AS81" s="48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</row>
    <row r="82" spans="33:57">
      <c r="AG82" s="45"/>
      <c r="AJ82" s="44"/>
      <c r="AK82" s="44"/>
      <c r="AL82" s="44"/>
      <c r="AM82" s="44"/>
      <c r="AN82" s="47"/>
      <c r="AO82" s="48"/>
      <c r="AP82" s="48"/>
      <c r="AQ82" s="48"/>
      <c r="AR82" s="48"/>
      <c r="AS82" s="48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</row>
    <row r="83" spans="33:57">
      <c r="AG83" s="45"/>
      <c r="AJ83" s="44"/>
      <c r="AK83" s="44"/>
      <c r="AL83" s="44"/>
      <c r="AM83" s="44"/>
      <c r="AN83" s="47"/>
      <c r="AO83" s="48"/>
      <c r="AP83" s="48"/>
      <c r="AQ83" s="48"/>
      <c r="AR83" s="48"/>
      <c r="AS83" s="48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</row>
    <row r="84" spans="33:57">
      <c r="AG84" s="45"/>
      <c r="AJ84" s="44"/>
      <c r="AK84" s="44"/>
      <c r="AL84" s="44"/>
      <c r="AM84" s="44"/>
      <c r="AN84" s="47"/>
      <c r="AO84" s="48"/>
      <c r="AP84" s="48"/>
      <c r="AQ84" s="48"/>
      <c r="AR84" s="48"/>
      <c r="AS84" s="48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</row>
    <row r="85" spans="33:57">
      <c r="AG85" s="45"/>
      <c r="AJ85" s="44"/>
      <c r="AK85" s="44"/>
      <c r="AL85" s="44"/>
      <c r="AM85" s="44"/>
      <c r="AN85" s="47"/>
      <c r="AO85" s="48"/>
      <c r="AP85" s="48"/>
      <c r="AQ85" s="48"/>
      <c r="AR85" s="48"/>
      <c r="AS85" s="48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</row>
    <row r="86" spans="33:57">
      <c r="AG86" s="45"/>
      <c r="AJ86" s="44"/>
      <c r="AK86" s="44"/>
      <c r="AL86" s="44"/>
      <c r="AM86" s="47"/>
      <c r="AN86" s="47"/>
      <c r="AO86" s="48"/>
      <c r="AP86" s="48"/>
      <c r="AQ86" s="48"/>
      <c r="AR86" s="48"/>
      <c r="AS86" s="48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</row>
    <row r="87" spans="33:57">
      <c r="AG87" s="45"/>
      <c r="AJ87" s="44"/>
      <c r="AK87" s="44"/>
      <c r="AL87" s="44"/>
      <c r="AM87" s="47"/>
      <c r="AN87" s="47"/>
      <c r="AO87" s="48"/>
      <c r="AP87" s="48"/>
      <c r="AQ87" s="48"/>
      <c r="AR87" s="48"/>
      <c r="AS87" s="48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</row>
    <row r="88" spans="33:57">
      <c r="AG88" s="45"/>
      <c r="AJ88" s="44"/>
      <c r="AK88" s="44"/>
      <c r="AL88" s="44"/>
      <c r="AM88" s="47"/>
      <c r="AN88" s="47"/>
      <c r="AO88" s="48"/>
      <c r="AP88" s="48"/>
      <c r="AQ88" s="48"/>
      <c r="AR88" s="48"/>
      <c r="AS88" s="48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</row>
    <row r="89" spans="33:57">
      <c r="AG89" s="45"/>
      <c r="AJ89" s="44"/>
      <c r="AK89" s="44"/>
      <c r="AL89" s="44"/>
      <c r="AM89" s="47"/>
      <c r="AN89" s="47"/>
      <c r="AO89" s="48"/>
      <c r="AP89" s="48"/>
      <c r="AQ89" s="48"/>
      <c r="AR89" s="48"/>
      <c r="AS89" s="48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</row>
    <row r="90" spans="33:57">
      <c r="AG90" s="45"/>
      <c r="AJ90" s="44"/>
      <c r="AK90" s="44"/>
      <c r="AL90" s="47"/>
      <c r="AN90" s="44"/>
      <c r="AO90" s="46"/>
      <c r="AP90" s="46"/>
      <c r="AQ90" s="46"/>
      <c r="AR90" s="46"/>
      <c r="AS90" s="46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</row>
    <row r="91" spans="33:57">
      <c r="AG91" s="45"/>
      <c r="AJ91" s="44"/>
      <c r="AK91" s="44"/>
      <c r="AL91" s="47"/>
      <c r="AN91" s="44"/>
      <c r="AO91" s="46"/>
      <c r="AP91" s="46"/>
      <c r="AQ91" s="46"/>
      <c r="AR91" s="46"/>
      <c r="AS91" s="46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</row>
    <row r="92" spans="33:57">
      <c r="AG92" s="45"/>
      <c r="AJ92" s="44"/>
      <c r="AK92" s="44"/>
      <c r="AL92" s="47"/>
      <c r="AN92" s="44"/>
      <c r="AO92" s="46"/>
      <c r="AP92" s="46"/>
      <c r="AQ92" s="46"/>
      <c r="AR92" s="46"/>
      <c r="AS92" s="46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</row>
    <row r="93" spans="33:57">
      <c r="AG93" s="45"/>
      <c r="AJ93" s="44"/>
      <c r="AK93" s="44"/>
      <c r="AL93" s="47"/>
      <c r="AN93" s="44"/>
      <c r="AO93" s="46"/>
      <c r="AP93" s="46"/>
      <c r="AQ93" s="46"/>
      <c r="AR93" s="46"/>
      <c r="AS93" s="46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</row>
    <row r="94" spans="33:57">
      <c r="AG94" s="45"/>
      <c r="AJ94" s="44"/>
      <c r="AK94" s="44"/>
      <c r="AL94" s="47"/>
      <c r="AN94" s="44"/>
      <c r="AO94" s="46"/>
      <c r="AP94" s="46"/>
      <c r="AQ94" s="46"/>
      <c r="AR94" s="46"/>
      <c r="AS94" s="46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</row>
    <row r="95" spans="33:57">
      <c r="AG95" s="45"/>
      <c r="AJ95" s="44"/>
      <c r="AK95" s="44"/>
      <c r="AL95" s="47"/>
      <c r="AN95" s="44"/>
      <c r="AO95" s="46"/>
      <c r="AP95" s="46"/>
      <c r="AQ95" s="46"/>
      <c r="AR95" s="46"/>
      <c r="AS95" s="46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</row>
    <row r="96" spans="33:57">
      <c r="AG96" s="45"/>
      <c r="AJ96" s="44"/>
      <c r="AK96" s="44"/>
      <c r="AL96" s="47"/>
      <c r="AN96" s="44"/>
      <c r="AO96" s="46"/>
      <c r="AP96" s="46"/>
      <c r="AQ96" s="46"/>
      <c r="AR96" s="46"/>
      <c r="AS96" s="46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</row>
    <row r="97" spans="33:57">
      <c r="AG97" s="45"/>
      <c r="AJ97" s="44"/>
      <c r="AK97" s="44"/>
      <c r="AL97" s="47"/>
      <c r="AN97" s="44"/>
      <c r="AO97" s="46"/>
      <c r="AP97" s="46"/>
      <c r="AQ97" s="46"/>
      <c r="AR97" s="46"/>
      <c r="AS97" s="46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</row>
    <row r="121" spans="13:60" s="26" customFormat="1">
      <c r="M121" s="31"/>
      <c r="R121" s="31"/>
      <c r="X121" s="36"/>
      <c r="Y121" s="37"/>
      <c r="Z121" s="37"/>
      <c r="AA121" s="40"/>
      <c r="AB121" s="36"/>
      <c r="AC121" s="36"/>
      <c r="AD121" s="36"/>
      <c r="AE121" s="36"/>
      <c r="AF121" s="36"/>
      <c r="AG121" s="36"/>
      <c r="AH121" s="63"/>
      <c r="AI121" s="63"/>
      <c r="AJ121" s="37"/>
      <c r="AK121" s="37"/>
      <c r="AL121" s="37"/>
      <c r="AM121" s="37"/>
      <c r="AN121" s="37"/>
      <c r="AO121" s="42"/>
      <c r="AP121" s="42"/>
      <c r="AQ121" s="42"/>
      <c r="AR121" s="42"/>
      <c r="AS121" s="42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6"/>
      <c r="BG121" s="37"/>
      <c r="BH121" s="37"/>
    </row>
    <row r="135" spans="13:60" s="26" customFormat="1">
      <c r="M135" s="31"/>
      <c r="R135" s="31"/>
      <c r="X135" s="36"/>
      <c r="Y135" s="37"/>
      <c r="Z135" s="37"/>
      <c r="AA135" s="40"/>
      <c r="AB135" s="36"/>
      <c r="AC135" s="36"/>
      <c r="AD135" s="36"/>
      <c r="AE135" s="36"/>
      <c r="AF135" s="36"/>
      <c r="AG135" s="36"/>
      <c r="AH135" s="63"/>
      <c r="AI135" s="63"/>
      <c r="AJ135" s="37"/>
      <c r="AK135" s="37"/>
      <c r="AL135" s="37"/>
      <c r="AM135" s="37"/>
      <c r="AN135" s="37"/>
      <c r="AO135" s="42"/>
      <c r="AP135" s="42"/>
      <c r="AQ135" s="42"/>
      <c r="AR135" s="42"/>
      <c r="AS135" s="42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6"/>
      <c r="BG135" s="37"/>
      <c r="BH135" s="37"/>
    </row>
    <row r="147" spans="13:60" s="26" customFormat="1">
      <c r="M147" s="31"/>
      <c r="R147" s="31"/>
      <c r="X147" s="36"/>
      <c r="Y147" s="37"/>
      <c r="Z147" s="37"/>
      <c r="AA147" s="40"/>
      <c r="AB147" s="36"/>
      <c r="AC147" s="36"/>
      <c r="AD147" s="36"/>
      <c r="AE147" s="36"/>
      <c r="AF147" s="36"/>
      <c r="AG147" s="36"/>
      <c r="AH147" s="63"/>
      <c r="AI147" s="63"/>
      <c r="AJ147" s="37"/>
      <c r="AK147" s="37"/>
      <c r="AL147" s="37"/>
      <c r="AM147" s="37"/>
      <c r="AN147" s="37"/>
      <c r="AO147" s="42"/>
      <c r="AP147" s="42"/>
      <c r="AQ147" s="42"/>
      <c r="AR147" s="42"/>
      <c r="AS147" s="42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6"/>
      <c r="BG147" s="37"/>
      <c r="BH147" s="37"/>
    </row>
    <row r="153" spans="13:60">
      <c r="BF153" s="45"/>
      <c r="BG153" s="44"/>
      <c r="BH153" s="44"/>
    </row>
    <row r="154" spans="13:60">
      <c r="BF154" s="45"/>
    </row>
    <row r="171" spans="13:13">
      <c r="M171" s="33"/>
    </row>
    <row r="172" spans="13:13">
      <c r="M172" s="33"/>
    </row>
    <row r="173" spans="13:13">
      <c r="M173" s="33"/>
    </row>
    <row r="174" spans="13:13">
      <c r="M174" s="33"/>
    </row>
    <row r="175" spans="13:13">
      <c r="M175" s="33"/>
    </row>
    <row r="176" spans="13:13">
      <c r="M176" s="33"/>
    </row>
    <row r="177" spans="13:60" s="26" customFormat="1">
      <c r="M177" s="49"/>
      <c r="R177" s="31"/>
      <c r="X177" s="36"/>
      <c r="Y177" s="37"/>
      <c r="Z177" s="37"/>
      <c r="AA177" s="40"/>
      <c r="AB177" s="36"/>
      <c r="AC177" s="36"/>
      <c r="AD177" s="36"/>
      <c r="AE177" s="36"/>
      <c r="AF177" s="36"/>
      <c r="AG177" s="36"/>
      <c r="AH177" s="63"/>
      <c r="AI177" s="63"/>
      <c r="AJ177" s="37"/>
      <c r="AK177" s="37"/>
      <c r="AL177" s="37"/>
      <c r="AM177" s="37"/>
      <c r="AN177" s="37"/>
      <c r="AO177" s="42"/>
      <c r="AP177" s="42"/>
      <c r="AQ177" s="42"/>
      <c r="AR177" s="42"/>
      <c r="AS177" s="42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6"/>
      <c r="BG177" s="37"/>
      <c r="BH177" s="37"/>
    </row>
    <row r="194" spans="13:60" s="26" customFormat="1">
      <c r="M194" s="31"/>
      <c r="R194" s="31"/>
      <c r="X194" s="36"/>
      <c r="Y194" s="37"/>
      <c r="Z194" s="37"/>
      <c r="AA194" s="40"/>
      <c r="AB194" s="36"/>
      <c r="AC194" s="36"/>
      <c r="AD194" s="36"/>
      <c r="AE194" s="36"/>
      <c r="AF194" s="36"/>
      <c r="AG194" s="36"/>
      <c r="AH194" s="63"/>
      <c r="AI194" s="63"/>
      <c r="AJ194" s="37"/>
      <c r="AK194" s="37"/>
      <c r="AL194" s="37"/>
      <c r="AM194" s="37"/>
      <c r="AN194" s="37"/>
      <c r="AO194" s="42"/>
      <c r="AP194" s="42"/>
      <c r="AQ194" s="42"/>
      <c r="AR194" s="42"/>
      <c r="AS194" s="42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6"/>
      <c r="BG194" s="37"/>
      <c r="BH194" s="37"/>
    </row>
    <row r="196" spans="13:60" s="26" customFormat="1" ht="14.6" thickBot="1">
      <c r="M196" s="31"/>
      <c r="R196" s="31"/>
      <c r="X196" s="36"/>
      <c r="Y196" s="37"/>
      <c r="Z196" s="37"/>
      <c r="AA196" s="40"/>
      <c r="AB196" s="36"/>
      <c r="AC196" s="36"/>
      <c r="AD196" s="36"/>
      <c r="AE196" s="36"/>
      <c r="AF196" s="36"/>
      <c r="AG196" s="36"/>
      <c r="AH196" s="63"/>
      <c r="AI196" s="63"/>
      <c r="AJ196" s="37"/>
      <c r="AK196" s="37"/>
      <c r="AL196" s="37"/>
      <c r="AM196" s="37"/>
      <c r="AN196" s="37"/>
      <c r="AO196" s="42"/>
      <c r="AP196" s="42"/>
      <c r="AQ196" s="42"/>
      <c r="AR196" s="42"/>
      <c r="AS196" s="42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6"/>
      <c r="BG196" s="37"/>
      <c r="BH196" s="37"/>
    </row>
    <row r="197" spans="13:60">
      <c r="AG197" s="34"/>
      <c r="AH197" s="53"/>
      <c r="AI197" s="53"/>
    </row>
    <row r="198" spans="13:60">
      <c r="AG198" s="2"/>
      <c r="AH198" s="53"/>
      <c r="AI198" s="53"/>
    </row>
    <row r="199" spans="13:60">
      <c r="AG199" s="2"/>
      <c r="AH199" s="53"/>
      <c r="AI199" s="53"/>
    </row>
    <row r="200" spans="13:60">
      <c r="AG200" s="2"/>
      <c r="AH200" s="53"/>
      <c r="AI200" s="53"/>
    </row>
    <row r="201" spans="13:60">
      <c r="AG201" s="2"/>
      <c r="AH201" s="53"/>
      <c r="AI201" s="53"/>
    </row>
    <row r="203" spans="13:60" s="26" customFormat="1">
      <c r="M203" s="31"/>
      <c r="R203" s="31"/>
      <c r="X203" s="36"/>
      <c r="Y203" s="37"/>
      <c r="Z203" s="37"/>
      <c r="AA203" s="40"/>
      <c r="AB203" s="36"/>
      <c r="AC203" s="36"/>
      <c r="AD203" s="36"/>
      <c r="AE203" s="36"/>
      <c r="AF203" s="36"/>
      <c r="AG203" s="36"/>
      <c r="AH203" s="63"/>
      <c r="AI203" s="63"/>
      <c r="AJ203" s="37"/>
      <c r="AK203" s="37"/>
      <c r="AL203" s="37"/>
      <c r="AM203" s="37"/>
      <c r="AN203" s="37"/>
      <c r="AO203" s="42"/>
      <c r="AP203" s="42"/>
      <c r="AQ203" s="42"/>
      <c r="AR203" s="42"/>
      <c r="AS203" s="42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6"/>
      <c r="BG203" s="37"/>
      <c r="BH203" s="37"/>
    </row>
    <row r="217" spans="6:60" s="26" customFormat="1">
      <c r="M217" s="31"/>
      <c r="R217" s="31"/>
      <c r="X217" s="36"/>
      <c r="Y217" s="37"/>
      <c r="Z217" s="37"/>
      <c r="AA217" s="40"/>
      <c r="AB217" s="36"/>
      <c r="AC217" s="36"/>
      <c r="AD217" s="36"/>
      <c r="AE217" s="36"/>
      <c r="AF217" s="36"/>
      <c r="AG217" s="36"/>
      <c r="AH217" s="63"/>
      <c r="AI217" s="63"/>
      <c r="AJ217" s="37"/>
      <c r="AK217" s="37"/>
      <c r="AL217" s="37"/>
      <c r="AM217" s="37"/>
      <c r="AN217" s="37"/>
      <c r="AO217" s="42"/>
      <c r="AP217" s="42"/>
      <c r="AQ217" s="42"/>
      <c r="AR217" s="42"/>
      <c r="AS217" s="42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6"/>
      <c r="BG217" s="37"/>
      <c r="BH217" s="37"/>
    </row>
    <row r="220" spans="6:60">
      <c r="F220" s="35"/>
    </row>
    <row r="223" spans="6:60" s="26" customFormat="1">
      <c r="M223" s="31"/>
      <c r="R223" s="31"/>
      <c r="X223" s="36"/>
      <c r="Y223" s="37"/>
      <c r="Z223" s="37"/>
      <c r="AA223" s="40"/>
      <c r="AB223" s="36"/>
      <c r="AC223" s="36"/>
      <c r="AD223" s="36"/>
      <c r="AE223" s="36"/>
      <c r="AF223" s="36"/>
      <c r="AG223" s="36"/>
      <c r="AH223" s="63"/>
      <c r="AI223" s="63"/>
      <c r="AJ223" s="37"/>
      <c r="AK223" s="37"/>
      <c r="AL223" s="37"/>
      <c r="AM223" s="37"/>
      <c r="AN223" s="37"/>
      <c r="AO223" s="42"/>
      <c r="AP223" s="42"/>
      <c r="AQ223" s="42"/>
      <c r="AR223" s="42"/>
      <c r="AS223" s="42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6"/>
      <c r="BG223" s="37"/>
      <c r="BH223" s="37"/>
    </row>
    <row r="226" spans="13:60" s="26" customFormat="1">
      <c r="M226" s="31"/>
      <c r="R226" s="31"/>
      <c r="X226" s="36"/>
      <c r="Y226" s="37"/>
      <c r="Z226" s="37"/>
      <c r="AA226" s="40"/>
      <c r="AB226" s="36"/>
      <c r="AC226" s="36"/>
      <c r="AD226" s="36"/>
      <c r="AE226" s="36"/>
      <c r="AF226" s="36"/>
      <c r="AG226" s="36"/>
      <c r="AH226" s="63"/>
      <c r="AI226" s="63"/>
      <c r="AJ226" s="37"/>
      <c r="AK226" s="37"/>
      <c r="AL226" s="37"/>
      <c r="AM226" s="37"/>
      <c r="AN226" s="37"/>
      <c r="AO226" s="42"/>
      <c r="AP226" s="42"/>
      <c r="AQ226" s="42"/>
      <c r="AR226" s="42"/>
      <c r="AS226" s="42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6"/>
      <c r="BG226" s="37"/>
      <c r="BH226" s="37"/>
    </row>
    <row r="230" spans="13:60" s="26" customFormat="1">
      <c r="M230" s="31"/>
      <c r="R230" s="31"/>
      <c r="X230" s="36"/>
      <c r="Y230" s="37"/>
      <c r="Z230" s="37"/>
      <c r="AA230" s="40"/>
      <c r="AB230" s="36"/>
      <c r="AC230" s="36"/>
      <c r="AD230" s="36"/>
      <c r="AE230" s="36"/>
      <c r="AF230" s="36"/>
      <c r="AG230" s="36"/>
      <c r="AH230" s="63"/>
      <c r="AI230" s="63"/>
      <c r="AJ230" s="37"/>
      <c r="AK230" s="37"/>
      <c r="AL230" s="37"/>
      <c r="AM230" s="37"/>
      <c r="AN230" s="37"/>
      <c r="AO230" s="42"/>
      <c r="AP230" s="42"/>
      <c r="AQ230" s="42"/>
      <c r="AR230" s="42"/>
      <c r="AS230" s="42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6"/>
      <c r="BG230" s="37"/>
      <c r="BH230" s="37"/>
    </row>
    <row r="238" spans="13:60" s="26" customFormat="1">
      <c r="M238" s="31"/>
      <c r="R238" s="31"/>
      <c r="X238" s="36"/>
      <c r="Y238" s="37"/>
      <c r="Z238" s="37"/>
      <c r="AA238" s="40"/>
      <c r="AB238" s="36"/>
      <c r="AC238" s="36"/>
      <c r="AD238" s="36"/>
      <c r="AE238" s="36"/>
      <c r="AF238" s="36"/>
      <c r="AG238" s="36"/>
      <c r="AH238" s="63"/>
      <c r="AI238" s="63"/>
      <c r="AJ238" s="37"/>
      <c r="AK238" s="37"/>
      <c r="AL238" s="37"/>
      <c r="AM238" s="37"/>
      <c r="AN238" s="37"/>
      <c r="AO238" s="42"/>
      <c r="AP238" s="42"/>
      <c r="AQ238" s="42"/>
      <c r="AR238" s="42"/>
      <c r="AS238" s="42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6"/>
      <c r="BG238" s="37"/>
      <c r="BH238" s="37"/>
    </row>
    <row r="258" spans="13:60" s="26" customFormat="1">
      <c r="M258" s="31"/>
      <c r="R258" s="31"/>
      <c r="X258" s="36"/>
      <c r="Y258" s="37"/>
      <c r="Z258" s="37"/>
      <c r="AA258" s="40"/>
      <c r="AB258" s="36"/>
      <c r="AC258" s="36"/>
      <c r="AD258" s="36"/>
      <c r="AE258" s="36"/>
      <c r="AF258" s="36"/>
      <c r="AG258" s="36"/>
      <c r="AH258" s="63"/>
      <c r="AI258" s="63"/>
      <c r="AJ258" s="37"/>
      <c r="AK258" s="37"/>
      <c r="AL258" s="37"/>
      <c r="AM258" s="37"/>
      <c r="AN258" s="37"/>
      <c r="AO258" s="42"/>
      <c r="AP258" s="42"/>
      <c r="AQ258" s="42"/>
      <c r="AR258" s="42"/>
      <c r="AS258" s="42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6"/>
      <c r="BG258" s="37"/>
      <c r="BH258" s="37"/>
    </row>
    <row r="281" spans="13:60" s="26" customFormat="1">
      <c r="M281" s="31"/>
      <c r="R281" s="31"/>
      <c r="X281" s="36"/>
      <c r="Y281" s="37"/>
      <c r="Z281" s="37"/>
      <c r="AA281" s="40"/>
      <c r="AB281" s="36"/>
      <c r="AC281" s="36"/>
      <c r="AD281" s="36"/>
      <c r="AE281" s="36"/>
      <c r="AF281" s="36"/>
      <c r="AG281" s="36"/>
      <c r="AH281" s="63"/>
      <c r="AI281" s="63"/>
      <c r="AJ281" s="37"/>
      <c r="AK281" s="37"/>
      <c r="AL281" s="37"/>
      <c r="AM281" s="37"/>
      <c r="AN281" s="37"/>
      <c r="AO281" s="42"/>
      <c r="AP281" s="42"/>
      <c r="AQ281" s="42"/>
      <c r="AR281" s="42"/>
      <c r="AS281" s="42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6"/>
      <c r="BG281" s="37"/>
      <c r="BH281" s="37"/>
    </row>
    <row r="301" spans="13:60" s="26" customFormat="1">
      <c r="M301" s="31"/>
      <c r="R301" s="31"/>
      <c r="X301" s="36"/>
      <c r="Y301" s="37"/>
      <c r="Z301" s="37"/>
      <c r="AA301" s="40"/>
      <c r="AB301" s="36"/>
      <c r="AC301" s="36"/>
      <c r="AD301" s="36"/>
      <c r="AE301" s="36"/>
      <c r="AF301" s="36"/>
      <c r="AG301" s="36"/>
      <c r="AH301" s="63"/>
      <c r="AI301" s="63"/>
      <c r="AJ301" s="37"/>
      <c r="AK301" s="37"/>
      <c r="AL301" s="37"/>
      <c r="AM301" s="37"/>
      <c r="AN301" s="37"/>
      <c r="AO301" s="42"/>
      <c r="AP301" s="42"/>
      <c r="AQ301" s="42"/>
      <c r="AR301" s="42"/>
      <c r="AS301" s="42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6"/>
      <c r="BG301" s="37"/>
      <c r="BH301" s="37"/>
    </row>
    <row r="310" spans="13:60" s="26" customFormat="1" ht="19.95" customHeight="1">
      <c r="M310" s="31"/>
      <c r="R310" s="31"/>
      <c r="X310" s="36"/>
      <c r="Y310" s="37"/>
      <c r="Z310" s="37"/>
      <c r="AA310" s="40"/>
      <c r="AB310" s="36"/>
      <c r="AC310" s="36"/>
      <c r="AD310" s="36"/>
      <c r="AE310" s="36"/>
      <c r="AF310" s="36"/>
      <c r="AG310" s="36"/>
      <c r="AH310" s="63"/>
      <c r="AI310" s="63"/>
      <c r="AJ310" s="37"/>
      <c r="AK310" s="37"/>
      <c r="AL310" s="37"/>
      <c r="AM310" s="37"/>
      <c r="AN310" s="37"/>
      <c r="AO310" s="42"/>
      <c r="AP310" s="42"/>
      <c r="AQ310" s="42"/>
      <c r="AR310" s="42"/>
      <c r="AS310" s="42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6"/>
      <c r="BG310" s="37"/>
      <c r="BH310" s="37"/>
    </row>
    <row r="329" spans="6:12">
      <c r="F329" s="50"/>
      <c r="G329" s="50"/>
      <c r="H329" s="50"/>
      <c r="I329" s="50"/>
      <c r="J329" s="50"/>
      <c r="K329" s="50"/>
      <c r="L329" s="50"/>
    </row>
    <row r="330" spans="6:12">
      <c r="F330" s="51"/>
      <c r="G330" s="51"/>
      <c r="H330" s="51"/>
      <c r="I330" s="51"/>
      <c r="J330" s="51"/>
      <c r="K330" s="51"/>
      <c r="L330" s="51"/>
    </row>
    <row r="333" spans="6:12">
      <c r="F333" s="51"/>
      <c r="G333" s="51"/>
      <c r="H333" s="51"/>
      <c r="I333" s="51"/>
      <c r="J333" s="51"/>
      <c r="K333" s="51"/>
      <c r="L333" s="51"/>
    </row>
    <row r="1048556" spans="62:62">
      <c r="BJ1048556" s="55" t="s">
        <v>164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E6A4-E173-4251-9A73-AAAD20CEDF93}">
  <dimension ref="A1:D14"/>
  <sheetViews>
    <sheetView workbookViewId="0">
      <selection activeCell="A3" sqref="A3:C6"/>
    </sheetView>
  </sheetViews>
  <sheetFormatPr defaultRowHeight="14.15"/>
  <cols>
    <col min="1" max="1" width="38.140625" customWidth="1"/>
    <col min="2" max="2" width="34.5" customWidth="1"/>
    <col min="3" max="3" width="32.85546875" customWidth="1"/>
    <col min="4" max="4" width="30.85546875" customWidth="1"/>
    <col min="5" max="5" width="33.5703125" customWidth="1"/>
  </cols>
  <sheetData>
    <row r="1" spans="1:4">
      <c r="A1" s="59" t="s">
        <v>122</v>
      </c>
      <c r="B1" s="43" t="s">
        <v>27</v>
      </c>
      <c r="C1" s="39" t="s">
        <v>28</v>
      </c>
      <c r="D1" s="39" t="s">
        <v>29</v>
      </c>
    </row>
    <row r="2" spans="1:4">
      <c r="A2">
        <f>B10+C10</f>
        <v>0</v>
      </c>
    </row>
    <row r="3" spans="1:4">
      <c r="A3">
        <f>B11+C11</f>
        <v>17.3</v>
      </c>
      <c r="B3">
        <f>B11/A3*100</f>
        <v>22.543352601156069</v>
      </c>
      <c r="C3">
        <f>C11/A3*100</f>
        <v>77.456647398843927</v>
      </c>
    </row>
    <row r="4" spans="1:4">
      <c r="A4">
        <f t="shared" ref="A4:A6" si="0">B12+C12</f>
        <v>21.2</v>
      </c>
      <c r="B4">
        <f t="shared" ref="B4:B6" si="1">B12/A4*100</f>
        <v>12.735849056603774</v>
      </c>
      <c r="C4">
        <f t="shared" ref="C4:C6" si="2">C12/A4*100</f>
        <v>87.264150943396231</v>
      </c>
    </row>
    <row r="5" spans="1:4">
      <c r="A5">
        <f t="shared" si="0"/>
        <v>31.9</v>
      </c>
      <c r="B5">
        <f t="shared" si="1"/>
        <v>6.8965517241379324</v>
      </c>
      <c r="C5">
        <f t="shared" si="2"/>
        <v>93.103448275862064</v>
      </c>
    </row>
    <row r="6" spans="1:4">
      <c r="A6">
        <f t="shared" si="0"/>
        <v>35.200000000000003</v>
      </c>
      <c r="B6">
        <f t="shared" si="1"/>
        <v>7.6704545454545459</v>
      </c>
      <c r="C6">
        <f t="shared" si="2"/>
        <v>92.329545454545453</v>
      </c>
    </row>
    <row r="9" spans="1:4">
      <c r="A9" s="59" t="s">
        <v>124</v>
      </c>
      <c r="B9" s="43" t="s">
        <v>27</v>
      </c>
      <c r="C9" s="39" t="s">
        <v>28</v>
      </c>
      <c r="D9" s="39" t="s">
        <v>29</v>
      </c>
    </row>
    <row r="10" spans="1:4">
      <c r="A10" s="62" t="s">
        <v>125</v>
      </c>
    </row>
    <row r="11" spans="1:4">
      <c r="A11" s="62" t="s">
        <v>126</v>
      </c>
      <c r="B11">
        <v>3.9</v>
      </c>
      <c r="C11">
        <v>13.4</v>
      </c>
    </row>
    <row r="12" spans="1:4">
      <c r="A12" s="62" t="s">
        <v>127</v>
      </c>
      <c r="B12">
        <v>2.7</v>
      </c>
      <c r="C12">
        <v>18.5</v>
      </c>
    </row>
    <row r="13" spans="1:4">
      <c r="A13" s="62" t="s">
        <v>129</v>
      </c>
      <c r="B13">
        <v>2.2000000000000002</v>
      </c>
      <c r="C13">
        <v>29.7</v>
      </c>
    </row>
    <row r="14" spans="1:4">
      <c r="A14" s="62" t="s">
        <v>128</v>
      </c>
      <c r="B14">
        <v>2.7</v>
      </c>
      <c r="C14">
        <v>32.5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="115" zoomScaleNormal="115" workbookViewId="0">
      <pane ySplit="1" topLeftCell="A2" activePane="bottomLeft" state="frozen"/>
      <selection pane="bottomLeft" activeCell="C29" sqref="C29"/>
    </sheetView>
  </sheetViews>
  <sheetFormatPr defaultColWidth="8.85546875" defaultRowHeight="18"/>
  <cols>
    <col min="1" max="1" width="77.85546875" style="15" customWidth="1"/>
    <col min="2" max="2" width="16.28515625" style="16" customWidth="1"/>
    <col min="3" max="3" width="10.7109375" style="17" customWidth="1"/>
    <col min="4" max="4" width="10.7109375" style="18" customWidth="1"/>
    <col min="5" max="5" width="16.5703125" style="19" customWidth="1"/>
    <col min="6" max="16384" width="8.85546875" style="1"/>
  </cols>
  <sheetData>
    <row r="1" spans="1:5" ht="19.95" customHeight="1">
      <c r="A1" s="20" t="s">
        <v>31</v>
      </c>
      <c r="B1" s="21" t="s">
        <v>32</v>
      </c>
      <c r="C1" s="22" t="s">
        <v>33</v>
      </c>
      <c r="D1" s="23" t="s">
        <v>34</v>
      </c>
      <c r="E1" s="24" t="s">
        <v>35</v>
      </c>
    </row>
    <row r="2" spans="1:5" ht="19.95" customHeight="1">
      <c r="A2" s="15" t="s">
        <v>36</v>
      </c>
      <c r="B2" s="16" t="s">
        <v>37</v>
      </c>
      <c r="C2" s="17">
        <v>1</v>
      </c>
      <c r="D2" s="18">
        <v>37</v>
      </c>
      <c r="E2" s="18">
        <v>2009.5</v>
      </c>
    </row>
    <row r="3" spans="1:5" ht="19.95" customHeight="1">
      <c r="A3" s="15" t="s">
        <v>38</v>
      </c>
      <c r="B3" s="16" t="s">
        <v>39</v>
      </c>
      <c r="C3" s="17">
        <f>D2+1</f>
        <v>38</v>
      </c>
      <c r="D3" s="18">
        <v>43</v>
      </c>
      <c r="E3" s="18">
        <v>2011.11</v>
      </c>
    </row>
    <row r="4" spans="1:5" ht="19.95" customHeight="1">
      <c r="A4" s="15" t="s">
        <v>40</v>
      </c>
      <c r="B4" s="16" t="s">
        <v>41</v>
      </c>
      <c r="C4" s="17">
        <f t="shared" ref="C4:C22" si="0">D3+1</f>
        <v>44</v>
      </c>
      <c r="D4" s="18">
        <v>45</v>
      </c>
      <c r="E4" s="18">
        <v>2010.4</v>
      </c>
    </row>
    <row r="5" spans="1:5" ht="19.95" customHeight="1">
      <c r="A5" s="15" t="s">
        <v>42</v>
      </c>
      <c r="B5" s="16" t="s">
        <v>43</v>
      </c>
      <c r="C5" s="17">
        <f t="shared" si="0"/>
        <v>46</v>
      </c>
      <c r="D5" s="18">
        <v>100</v>
      </c>
      <c r="E5" s="18">
        <v>2005.7</v>
      </c>
    </row>
    <row r="6" spans="1:5" ht="19.95" customHeight="1">
      <c r="A6" s="15" t="s">
        <v>44</v>
      </c>
      <c r="B6" s="16" t="s">
        <v>45</v>
      </c>
      <c r="C6" s="17">
        <f t="shared" si="0"/>
        <v>101</v>
      </c>
      <c r="D6" s="18">
        <v>115</v>
      </c>
      <c r="E6" s="18">
        <v>2007.4</v>
      </c>
    </row>
    <row r="7" spans="1:5" ht="19.95" customHeight="1">
      <c r="A7" s="15" t="s">
        <v>46</v>
      </c>
      <c r="B7" s="16" t="s">
        <v>47</v>
      </c>
      <c r="C7" s="17">
        <f t="shared" si="0"/>
        <v>116</v>
      </c>
      <c r="D7" s="18">
        <v>159</v>
      </c>
      <c r="E7" s="18">
        <v>2007.6</v>
      </c>
    </row>
    <row r="8" spans="1:5" ht="19.95" customHeight="1">
      <c r="A8" s="15" t="s">
        <v>48</v>
      </c>
      <c r="B8" s="16" t="s">
        <v>49</v>
      </c>
      <c r="C8" s="17">
        <f t="shared" si="0"/>
        <v>160</v>
      </c>
      <c r="D8" s="18">
        <v>173</v>
      </c>
      <c r="E8" s="18">
        <v>2004.12</v>
      </c>
    </row>
    <row r="9" spans="1:5" ht="19.95" customHeight="1">
      <c r="A9" s="15" t="s">
        <v>50</v>
      </c>
      <c r="B9" s="16" t="s">
        <v>51</v>
      </c>
      <c r="C9" s="17">
        <f t="shared" si="0"/>
        <v>174</v>
      </c>
      <c r="D9" s="18">
        <v>186</v>
      </c>
      <c r="E9" s="18">
        <v>2006.4</v>
      </c>
    </row>
    <row r="10" spans="1:5" ht="19.95" customHeight="1">
      <c r="A10" s="15" t="s">
        <v>52</v>
      </c>
      <c r="B10" s="16" t="s">
        <v>53</v>
      </c>
      <c r="C10" s="17">
        <f t="shared" si="0"/>
        <v>187</v>
      </c>
      <c r="D10" s="18">
        <v>215</v>
      </c>
      <c r="E10" s="18">
        <v>2004.4</v>
      </c>
    </row>
    <row r="11" spans="1:5" ht="19.95" customHeight="1">
      <c r="A11" s="15" t="s">
        <v>54</v>
      </c>
      <c r="B11" s="16" t="s">
        <v>55</v>
      </c>
      <c r="C11" s="17">
        <f t="shared" si="0"/>
        <v>216</v>
      </c>
      <c r="D11" s="18">
        <v>232</v>
      </c>
      <c r="E11" s="18">
        <v>2013.1</v>
      </c>
    </row>
    <row r="12" spans="1:5" ht="19.95" customHeight="1">
      <c r="A12" s="15" t="s">
        <v>56</v>
      </c>
      <c r="B12" s="16" t="s">
        <v>57</v>
      </c>
      <c r="C12" s="17">
        <f t="shared" si="0"/>
        <v>233</v>
      </c>
      <c r="D12" s="18">
        <v>234</v>
      </c>
      <c r="E12" s="18">
        <v>2015.7</v>
      </c>
    </row>
    <row r="13" spans="1:5" ht="19.95" customHeight="1">
      <c r="A13" s="15" t="s">
        <v>58</v>
      </c>
      <c r="B13" s="16" t="s">
        <v>59</v>
      </c>
      <c r="C13" s="17">
        <f t="shared" si="0"/>
        <v>235</v>
      </c>
      <c r="D13" s="18">
        <v>241</v>
      </c>
      <c r="E13" s="18">
        <v>2013.7</v>
      </c>
    </row>
    <row r="14" spans="1:5" ht="19.95" customHeight="1">
      <c r="A14" s="15" t="s">
        <v>60</v>
      </c>
      <c r="B14" s="16" t="s">
        <v>61</v>
      </c>
      <c r="C14" s="17">
        <f t="shared" si="0"/>
        <v>242</v>
      </c>
      <c r="D14" s="18">
        <v>255</v>
      </c>
      <c r="E14" s="18">
        <v>2016.7</v>
      </c>
    </row>
    <row r="15" spans="1:5" ht="19.95" customHeight="1">
      <c r="A15" s="15" t="s">
        <v>62</v>
      </c>
      <c r="B15" s="16" t="s">
        <v>63</v>
      </c>
      <c r="C15" s="17">
        <f t="shared" si="0"/>
        <v>256</v>
      </c>
      <c r="D15" s="18">
        <v>261</v>
      </c>
      <c r="E15" s="18">
        <v>2019.7</v>
      </c>
    </row>
    <row r="16" spans="1:5" ht="19.95" customHeight="1">
      <c r="A16" s="15" t="s">
        <v>64</v>
      </c>
      <c r="B16" s="16" t="s">
        <v>65</v>
      </c>
      <c r="C16" s="17">
        <f t="shared" si="0"/>
        <v>262</v>
      </c>
      <c r="D16" s="18">
        <v>264</v>
      </c>
      <c r="E16" s="18">
        <v>2021.1</v>
      </c>
    </row>
    <row r="17" spans="1:5" ht="19.95" customHeight="1">
      <c r="A17" s="15" t="s">
        <v>66</v>
      </c>
      <c r="B17" s="16" t="s">
        <v>67</v>
      </c>
      <c r="C17" s="17">
        <f t="shared" si="0"/>
        <v>265</v>
      </c>
      <c r="D17" s="18">
        <v>268</v>
      </c>
      <c r="E17" s="18">
        <v>2019.7</v>
      </c>
    </row>
    <row r="18" spans="1:5" ht="19.95" customHeight="1">
      <c r="A18" s="15" t="s">
        <v>68</v>
      </c>
      <c r="B18" s="16" t="s">
        <v>69</v>
      </c>
      <c r="C18" s="17">
        <f t="shared" si="0"/>
        <v>269</v>
      </c>
      <c r="D18" s="18">
        <v>276</v>
      </c>
      <c r="E18" s="18">
        <v>2021.1</v>
      </c>
    </row>
    <row r="19" spans="1:5" ht="19.95" customHeight="1">
      <c r="A19" s="15" t="s">
        <v>70</v>
      </c>
      <c r="B19" s="16" t="s">
        <v>71</v>
      </c>
      <c r="C19" s="17">
        <f t="shared" si="0"/>
        <v>277</v>
      </c>
      <c r="D19" s="18">
        <v>296</v>
      </c>
      <c r="E19" s="18">
        <v>2010.7</v>
      </c>
    </row>
    <row r="20" spans="1:5" ht="19.95" customHeight="1">
      <c r="A20" s="15" t="s">
        <v>72</v>
      </c>
      <c r="B20" s="16" t="s">
        <v>73</v>
      </c>
      <c r="C20" s="17">
        <f t="shared" si="0"/>
        <v>297</v>
      </c>
      <c r="D20" s="18">
        <v>319</v>
      </c>
      <c r="E20" s="18">
        <v>2011.7</v>
      </c>
    </row>
    <row r="21" spans="1:5" ht="19.95" customHeight="1">
      <c r="A21" s="15" t="s">
        <v>74</v>
      </c>
      <c r="B21" s="16" t="s">
        <v>75</v>
      </c>
      <c r="C21" s="17">
        <f t="shared" si="0"/>
        <v>320</v>
      </c>
      <c r="D21" s="18">
        <v>339</v>
      </c>
      <c r="E21" s="18">
        <v>2012.1</v>
      </c>
    </row>
    <row r="22" spans="1:5" ht="19.95" customHeight="1">
      <c r="A22" s="15" t="s">
        <v>76</v>
      </c>
      <c r="B22" s="16" t="s">
        <v>77</v>
      </c>
      <c r="C22" s="17">
        <f t="shared" si="0"/>
        <v>340</v>
      </c>
      <c r="D22" s="18">
        <v>348</v>
      </c>
      <c r="E22" s="18">
        <v>2013.7</v>
      </c>
    </row>
    <row r="23" spans="1:5" ht="19.95" customHeight="1"/>
    <row r="24" spans="1:5" ht="19.95" customHeight="1"/>
    <row r="25" spans="1:5" ht="19.95" customHeight="1"/>
    <row r="26" spans="1:5" ht="19.95" customHeight="1"/>
    <row r="27" spans="1:5" ht="19.95" customHeight="1"/>
    <row r="28" spans="1:5" ht="19.95" customHeight="1"/>
    <row r="29" spans="1:5" ht="19.95" customHeight="1"/>
    <row r="30" spans="1:5" ht="19.95" customHeight="1"/>
    <row r="31" spans="1:5" ht="19.95" customHeight="1"/>
    <row r="32" spans="1:5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6"/>
  <sheetViews>
    <sheetView zoomScale="115" zoomScaleNormal="115" workbookViewId="0">
      <selection activeCell="P38" sqref="P38"/>
    </sheetView>
  </sheetViews>
  <sheetFormatPr defaultColWidth="9" defaultRowHeight="14.15"/>
  <cols>
    <col min="1" max="1" width="9.7109375" style="1" customWidth="1"/>
    <col min="2" max="2" width="9.7109375" style="2" customWidth="1"/>
    <col min="3" max="3" width="17.140625" style="1" customWidth="1"/>
    <col min="4" max="5" width="10.7109375" style="1" customWidth="1"/>
    <col min="6" max="6" width="32.7109375" style="6" customWidth="1"/>
    <col min="7" max="7" width="32.7109375" style="7" customWidth="1"/>
    <col min="8" max="8" width="28.7109375" style="3" customWidth="1"/>
    <col min="9" max="9" width="30.7109375" style="3" customWidth="1"/>
    <col min="10" max="15" width="28.7109375" style="3" customWidth="1"/>
    <col min="16" max="19" width="18.7109375" style="3" customWidth="1"/>
    <col min="20" max="20" width="20.5" style="3" customWidth="1"/>
    <col min="21" max="21" width="17.5" style="3" customWidth="1"/>
    <col min="22" max="22" width="19.140625" style="3" customWidth="1"/>
    <col min="23" max="23" width="32.7109375" style="6" customWidth="1"/>
    <col min="24" max="29" width="32.7109375" style="7" customWidth="1"/>
    <col min="31" max="32" width="32.7109375" style="7" customWidth="1"/>
    <col min="34" max="34" width="32.7109375" style="6" customWidth="1"/>
    <col min="35" max="35" width="32.7109375" style="7" customWidth="1"/>
  </cols>
  <sheetData>
    <row r="1" spans="1:35">
      <c r="A1" s="1" t="s">
        <v>78</v>
      </c>
      <c r="B1" s="2" t="s">
        <v>79</v>
      </c>
      <c r="C1" s="1" t="s">
        <v>80</v>
      </c>
      <c r="D1" s="1" t="s">
        <v>81</v>
      </c>
      <c r="E1" s="1" t="s">
        <v>82</v>
      </c>
      <c r="F1" s="6" t="s">
        <v>83</v>
      </c>
      <c r="G1" s="7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8" t="s">
        <v>30</v>
      </c>
      <c r="Q1" s="8" t="s">
        <v>93</v>
      </c>
      <c r="R1" s="8" t="s">
        <v>94</v>
      </c>
      <c r="S1" s="8" t="s">
        <v>95</v>
      </c>
      <c r="T1" s="3" t="s">
        <v>96</v>
      </c>
      <c r="U1" s="3" t="s">
        <v>97</v>
      </c>
      <c r="V1" s="3" t="s">
        <v>98</v>
      </c>
      <c r="W1" s="9" t="s">
        <v>99</v>
      </c>
      <c r="X1" s="10" t="s">
        <v>100</v>
      </c>
      <c r="Y1" s="10" t="s">
        <v>101</v>
      </c>
      <c r="Z1" s="10" t="s">
        <v>102</v>
      </c>
      <c r="AA1" s="10" t="s">
        <v>103</v>
      </c>
      <c r="AB1" s="10" t="s">
        <v>104</v>
      </c>
      <c r="AC1" s="10" t="s">
        <v>105</v>
      </c>
      <c r="AE1" s="10" t="s">
        <v>106</v>
      </c>
      <c r="AF1" s="10" t="s">
        <v>107</v>
      </c>
      <c r="AH1" s="9" t="s">
        <v>108</v>
      </c>
      <c r="AI1" s="10" t="s">
        <v>109</v>
      </c>
    </row>
    <row r="2" spans="1:35">
      <c r="A2" s="1">
        <v>1</v>
      </c>
      <c r="B2" s="2" t="s">
        <v>110</v>
      </c>
      <c r="C2" s="1">
        <v>0.83</v>
      </c>
      <c r="D2" s="1">
        <v>120</v>
      </c>
      <c r="E2" s="1">
        <v>2</v>
      </c>
      <c r="F2" s="6">
        <v>17.5</v>
      </c>
      <c r="G2" s="7">
        <v>82.5</v>
      </c>
      <c r="H2" s="3">
        <v>45.95</v>
      </c>
      <c r="I2" s="3">
        <v>40.450000000000003</v>
      </c>
      <c r="J2" s="3">
        <v>9.09</v>
      </c>
      <c r="K2" s="3">
        <v>32.75</v>
      </c>
      <c r="L2" s="3">
        <v>33.51</v>
      </c>
      <c r="M2" s="3">
        <v>24.65</v>
      </c>
      <c r="N2" s="3">
        <v>78.5</v>
      </c>
      <c r="O2" s="3">
        <v>79.569999999999993</v>
      </c>
      <c r="P2" s="3">
        <v>31.79</v>
      </c>
      <c r="Q2" s="3">
        <v>28.57</v>
      </c>
      <c r="R2" s="3">
        <v>79.7</v>
      </c>
      <c r="S2" s="3">
        <v>77.63</v>
      </c>
      <c r="T2" s="3">
        <v>47</v>
      </c>
      <c r="U2" s="3">
        <v>0.17</v>
      </c>
      <c r="V2" s="3">
        <v>14.51</v>
      </c>
      <c r="W2" s="6">
        <v>7.9</v>
      </c>
      <c r="X2" s="7">
        <v>13.8</v>
      </c>
      <c r="Y2" s="7">
        <f t="shared" ref="Y2:Y14" si="0">W2+X2</f>
        <v>21.700000000000003</v>
      </c>
      <c r="Z2" s="7">
        <v>18.399999999999999</v>
      </c>
      <c r="AA2" s="7" t="s">
        <v>111</v>
      </c>
      <c r="AB2" s="7" t="s">
        <v>111</v>
      </c>
      <c r="AE2" s="7">
        <v>6.6</v>
      </c>
      <c r="AF2" s="7">
        <v>12.4</v>
      </c>
      <c r="AH2" s="6">
        <v>7.8</v>
      </c>
      <c r="AI2" s="7">
        <v>18.100000000000001</v>
      </c>
    </row>
    <row r="3" spans="1:35">
      <c r="A3" s="1">
        <v>2</v>
      </c>
      <c r="B3" s="2" t="s">
        <v>110</v>
      </c>
      <c r="C3" s="1">
        <v>0.83</v>
      </c>
      <c r="D3" s="1">
        <v>120</v>
      </c>
      <c r="E3" s="1">
        <v>2</v>
      </c>
      <c r="F3" s="6">
        <v>17.5</v>
      </c>
      <c r="G3" s="7">
        <v>82.5</v>
      </c>
      <c r="H3" s="3">
        <v>42.75</v>
      </c>
      <c r="I3" s="3">
        <v>36.18</v>
      </c>
      <c r="J3" s="3">
        <v>9.2899999999999991</v>
      </c>
      <c r="K3" s="3">
        <v>30.92</v>
      </c>
      <c r="L3" s="3">
        <v>34.4</v>
      </c>
      <c r="M3" s="3">
        <v>25.39</v>
      </c>
      <c r="N3" s="3">
        <v>78.3</v>
      </c>
      <c r="O3" s="3">
        <v>76.569999999999993</v>
      </c>
      <c r="P3" s="3">
        <v>34.880000000000003</v>
      </c>
      <c r="Q3" s="3">
        <v>26.56</v>
      </c>
      <c r="R3" s="3">
        <v>79.62</v>
      </c>
      <c r="S3" s="3">
        <v>77.260000000000005</v>
      </c>
      <c r="T3" s="3">
        <v>49</v>
      </c>
      <c r="U3" s="3">
        <v>0.18</v>
      </c>
      <c r="V3" s="3">
        <v>14.26</v>
      </c>
      <c r="W3" s="6" t="s">
        <v>112</v>
      </c>
      <c r="X3" s="7">
        <v>20.6</v>
      </c>
      <c r="Y3" s="7">
        <f t="shared" si="0"/>
        <v>30.6</v>
      </c>
      <c r="Z3" s="7">
        <v>14.4</v>
      </c>
      <c r="AA3" s="7">
        <v>55.1</v>
      </c>
      <c r="AB3" s="7">
        <v>55.1</v>
      </c>
      <c r="AE3" s="7">
        <v>11.4</v>
      </c>
      <c r="AF3" s="7">
        <v>17.399999999999999</v>
      </c>
      <c r="AH3" s="6">
        <v>8.9</v>
      </c>
      <c r="AI3" s="7">
        <v>24.1</v>
      </c>
    </row>
    <row r="4" spans="1:35">
      <c r="A4" s="1">
        <v>3</v>
      </c>
      <c r="B4" s="2" t="s">
        <v>110</v>
      </c>
      <c r="C4" s="1">
        <v>0.83</v>
      </c>
      <c r="D4" s="1">
        <v>120</v>
      </c>
      <c r="E4" s="1">
        <v>2</v>
      </c>
      <c r="F4" s="6">
        <v>17.5</v>
      </c>
      <c r="G4" s="7">
        <v>82.5</v>
      </c>
      <c r="H4" s="3">
        <v>40.14</v>
      </c>
      <c r="I4" s="3">
        <v>32.07</v>
      </c>
      <c r="J4" s="3">
        <v>9.57</v>
      </c>
      <c r="K4" s="3">
        <v>34.68</v>
      </c>
      <c r="L4" s="3">
        <v>42.75</v>
      </c>
      <c r="M4" s="3">
        <v>13</v>
      </c>
      <c r="N4" s="3">
        <v>77.03</v>
      </c>
      <c r="O4" s="3">
        <v>77.63</v>
      </c>
      <c r="P4" s="3">
        <v>38.340000000000003</v>
      </c>
      <c r="Q4" s="3">
        <v>18.55</v>
      </c>
      <c r="R4" s="3">
        <v>78.41</v>
      </c>
      <c r="S4" s="3">
        <v>77</v>
      </c>
      <c r="T4" s="3">
        <v>57</v>
      </c>
      <c r="U4" s="3">
        <v>0.21</v>
      </c>
      <c r="V4" s="3">
        <v>14.21</v>
      </c>
      <c r="W4" s="6" t="s">
        <v>113</v>
      </c>
      <c r="X4" s="7">
        <v>23.5</v>
      </c>
      <c r="Y4" s="7">
        <f t="shared" si="0"/>
        <v>35.5</v>
      </c>
      <c r="Z4" s="7">
        <v>9.9</v>
      </c>
      <c r="AA4" s="7">
        <v>54.7</v>
      </c>
      <c r="AB4" s="7">
        <v>54.7</v>
      </c>
      <c r="AE4" s="7">
        <v>12.9</v>
      </c>
      <c r="AF4" s="7">
        <v>23.3</v>
      </c>
      <c r="AH4" s="6">
        <v>8.3000000000000007</v>
      </c>
      <c r="AI4" s="7">
        <v>28.1</v>
      </c>
    </row>
    <row r="5" spans="1:35">
      <c r="A5" s="1">
        <v>4</v>
      </c>
      <c r="B5" s="2" t="s">
        <v>110</v>
      </c>
      <c r="C5" s="1">
        <v>0.83</v>
      </c>
      <c r="D5" s="1">
        <v>120</v>
      </c>
      <c r="E5" s="1">
        <v>2</v>
      </c>
      <c r="F5" s="6">
        <v>17.5</v>
      </c>
      <c r="G5" s="7">
        <v>82.5</v>
      </c>
      <c r="H5" s="3">
        <v>41.04</v>
      </c>
      <c r="I5" s="3">
        <v>33.03</v>
      </c>
      <c r="J5" s="3">
        <v>10.210000000000001</v>
      </c>
      <c r="K5" s="3">
        <v>35.22</v>
      </c>
      <c r="L5" s="3">
        <v>45.92</v>
      </c>
      <c r="M5" s="3">
        <v>8.65</v>
      </c>
      <c r="N5" s="3">
        <v>77.64</v>
      </c>
      <c r="O5" s="3">
        <v>75.459999999999994</v>
      </c>
      <c r="P5" s="3">
        <v>46.48</v>
      </c>
      <c r="Q5" s="3">
        <v>9.93</v>
      </c>
      <c r="R5" s="3">
        <v>78.11</v>
      </c>
      <c r="S5" s="3">
        <v>76.12</v>
      </c>
      <c r="T5" s="3">
        <v>66</v>
      </c>
      <c r="U5" s="3">
        <v>0.23</v>
      </c>
      <c r="V5" s="3">
        <v>14.17</v>
      </c>
      <c r="W5" s="6">
        <v>11.5</v>
      </c>
      <c r="X5" s="7">
        <v>19.899999999999999</v>
      </c>
      <c r="Y5" s="7">
        <f t="shared" si="0"/>
        <v>31.4</v>
      </c>
      <c r="Z5" s="7">
        <v>5.7</v>
      </c>
      <c r="AA5" s="7">
        <v>51.2</v>
      </c>
      <c r="AB5" s="7">
        <v>51.2</v>
      </c>
      <c r="AC5" s="7">
        <v>11.7</v>
      </c>
      <c r="AE5" s="7">
        <v>8.6999999999999993</v>
      </c>
      <c r="AF5" s="7">
        <v>24.4</v>
      </c>
      <c r="AH5" s="6">
        <v>11.1</v>
      </c>
      <c r="AI5" s="7">
        <v>20.3</v>
      </c>
    </row>
    <row r="6" spans="1:35">
      <c r="A6" s="1">
        <v>5</v>
      </c>
      <c r="P6" s="3">
        <v>39.28</v>
      </c>
      <c r="Q6" s="3">
        <v>15.27</v>
      </c>
      <c r="R6" s="3">
        <v>79.36</v>
      </c>
      <c r="S6" s="3">
        <v>79.19</v>
      </c>
      <c r="W6" s="6">
        <v>7.9</v>
      </c>
      <c r="X6" s="7">
        <v>19</v>
      </c>
      <c r="Y6" s="7">
        <f t="shared" si="0"/>
        <v>26.9</v>
      </c>
      <c r="Z6" s="7">
        <v>8</v>
      </c>
      <c r="AA6" s="7">
        <v>13.4</v>
      </c>
      <c r="AB6" s="7">
        <v>39.299999999999997</v>
      </c>
      <c r="AC6" s="7">
        <v>12.4</v>
      </c>
      <c r="AE6" s="7">
        <v>9.3000000000000007</v>
      </c>
      <c r="AF6" s="7">
        <v>18.2</v>
      </c>
    </row>
    <row r="7" spans="1:35">
      <c r="A7" s="1">
        <v>6</v>
      </c>
      <c r="P7" s="3">
        <v>39.659999999999997</v>
      </c>
      <c r="Q7" s="3">
        <v>16.14</v>
      </c>
      <c r="R7" s="3">
        <v>78.95</v>
      </c>
      <c r="S7" s="3">
        <v>78.95</v>
      </c>
      <c r="W7" s="6">
        <v>9.1999999999999993</v>
      </c>
      <c r="X7" s="7">
        <v>19.7</v>
      </c>
      <c r="Y7" s="7">
        <f t="shared" si="0"/>
        <v>28.9</v>
      </c>
      <c r="Z7" s="7">
        <v>6.3</v>
      </c>
      <c r="AA7" s="7">
        <v>15.3</v>
      </c>
      <c r="AB7" s="7">
        <v>42.9</v>
      </c>
      <c r="AC7" s="7">
        <v>6.5</v>
      </c>
      <c r="AE7" s="7">
        <v>10.5</v>
      </c>
      <c r="AF7" s="7">
        <v>18.600000000000001</v>
      </c>
    </row>
    <row r="8" spans="1:35">
      <c r="A8" s="1">
        <v>7</v>
      </c>
      <c r="P8" s="3">
        <v>39.97</v>
      </c>
      <c r="Q8" s="3">
        <v>17.350000000000001</v>
      </c>
      <c r="R8" s="3">
        <v>78.25</v>
      </c>
      <c r="S8" s="3">
        <v>78.709999999999994</v>
      </c>
      <c r="W8" s="6">
        <v>8.6</v>
      </c>
      <c r="X8" s="7">
        <v>18.7</v>
      </c>
      <c r="Y8" s="7">
        <f t="shared" si="0"/>
        <v>27.299999999999997</v>
      </c>
      <c r="Z8" s="7">
        <v>5.5</v>
      </c>
      <c r="AA8" s="7">
        <v>16</v>
      </c>
      <c r="AB8" s="7">
        <v>32.5</v>
      </c>
      <c r="AC8" s="7">
        <v>18.600000000000001</v>
      </c>
      <c r="AE8" s="7">
        <v>12.2</v>
      </c>
      <c r="AF8" s="7">
        <v>14</v>
      </c>
    </row>
    <row r="9" spans="1:35">
      <c r="A9" s="1">
        <v>8</v>
      </c>
      <c r="P9" s="3">
        <v>39.65</v>
      </c>
      <c r="Q9" s="3">
        <v>13.17</v>
      </c>
      <c r="R9" s="3">
        <v>80.510000000000005</v>
      </c>
      <c r="S9" s="3">
        <v>78.87</v>
      </c>
      <c r="W9" s="6">
        <v>12.3</v>
      </c>
      <c r="X9" s="7">
        <v>21.3</v>
      </c>
      <c r="Y9" s="7">
        <f t="shared" si="0"/>
        <v>33.6</v>
      </c>
      <c r="Z9" s="7">
        <v>4</v>
      </c>
      <c r="AA9" s="7">
        <v>7.1</v>
      </c>
      <c r="AB9" s="7">
        <v>47.9</v>
      </c>
      <c r="AC9" s="7">
        <v>7.5</v>
      </c>
      <c r="AE9" s="7">
        <v>12.5</v>
      </c>
      <c r="AF9" s="7">
        <v>20.3</v>
      </c>
    </row>
    <row r="10" spans="1:35">
      <c r="A10" s="1">
        <v>9</v>
      </c>
      <c r="P10" s="3">
        <v>39.15</v>
      </c>
      <c r="Q10" s="3">
        <v>14.31</v>
      </c>
      <c r="R10" s="3">
        <v>80.39</v>
      </c>
      <c r="S10" s="3">
        <v>78.89</v>
      </c>
      <c r="W10" s="6">
        <v>21.7</v>
      </c>
      <c r="X10" s="7">
        <v>6.9</v>
      </c>
      <c r="Y10" s="7">
        <f t="shared" si="0"/>
        <v>28.6</v>
      </c>
      <c r="Z10" s="7">
        <v>10.199999999999999</v>
      </c>
      <c r="AA10" s="7">
        <v>6.5</v>
      </c>
      <c r="AB10" s="7">
        <v>42.3</v>
      </c>
      <c r="AC10" s="7">
        <v>12.3</v>
      </c>
      <c r="AE10" s="7">
        <v>9.9</v>
      </c>
      <c r="AF10" s="7">
        <v>20.6</v>
      </c>
    </row>
    <row r="11" spans="1:35">
      <c r="A11" s="1">
        <v>10</v>
      </c>
      <c r="P11" s="3">
        <v>39.47</v>
      </c>
      <c r="Q11" s="3">
        <v>15.23</v>
      </c>
      <c r="R11" s="3">
        <v>80.290000000000006</v>
      </c>
      <c r="S11" s="3">
        <v>78.19</v>
      </c>
      <c r="W11" s="6">
        <v>9</v>
      </c>
      <c r="X11" s="7">
        <v>23.1</v>
      </c>
      <c r="Y11" s="7">
        <f t="shared" si="0"/>
        <v>32.1</v>
      </c>
      <c r="Z11" s="7">
        <v>8.5</v>
      </c>
      <c r="AA11" s="7">
        <v>6</v>
      </c>
      <c r="AB11" s="7">
        <v>52.5</v>
      </c>
      <c r="AC11" s="7">
        <v>0.9</v>
      </c>
      <c r="AE11" s="7">
        <v>10.3</v>
      </c>
      <c r="AF11" s="7">
        <v>22</v>
      </c>
    </row>
    <row r="12" spans="1:35">
      <c r="A12" s="1">
        <v>11</v>
      </c>
      <c r="P12" s="3">
        <v>38.43</v>
      </c>
      <c r="Q12" s="3">
        <v>12.77</v>
      </c>
      <c r="R12" s="3">
        <v>81.459999999999994</v>
      </c>
      <c r="S12" s="3">
        <v>77.89</v>
      </c>
      <c r="W12" s="6">
        <v>8.6999999999999993</v>
      </c>
      <c r="X12" s="7">
        <v>26.2</v>
      </c>
      <c r="Y12" s="7">
        <f t="shared" si="0"/>
        <v>34.9</v>
      </c>
      <c r="Z12" s="7">
        <v>6.2</v>
      </c>
      <c r="AA12" s="7">
        <v>6.2</v>
      </c>
      <c r="AB12" s="7">
        <v>33.4</v>
      </c>
      <c r="AC12" s="7">
        <v>19.399999999999999</v>
      </c>
      <c r="AE12" s="7">
        <v>9.8000000000000007</v>
      </c>
      <c r="AF12" s="7">
        <v>23.2</v>
      </c>
    </row>
    <row r="13" spans="1:35">
      <c r="A13" s="1">
        <v>12</v>
      </c>
      <c r="P13" s="3">
        <v>38.39</v>
      </c>
      <c r="Q13" s="3">
        <v>13.26</v>
      </c>
      <c r="R13" s="3">
        <v>81.3</v>
      </c>
      <c r="S13" s="3">
        <v>78.09</v>
      </c>
      <c r="W13" s="6">
        <v>13.5</v>
      </c>
      <c r="X13" s="7">
        <v>19.100000000000001</v>
      </c>
      <c r="Y13" s="7">
        <f t="shared" si="0"/>
        <v>32.6</v>
      </c>
      <c r="Z13" s="7">
        <v>2.2999999999999998</v>
      </c>
      <c r="AA13" s="7">
        <v>9.1999999999999993</v>
      </c>
      <c r="AB13" s="7">
        <v>51.8</v>
      </c>
      <c r="AC13" s="7">
        <v>4.0999999999999996</v>
      </c>
      <c r="AE13" s="7">
        <v>11.3</v>
      </c>
      <c r="AF13" s="7">
        <v>24</v>
      </c>
    </row>
    <row r="14" spans="1:35">
      <c r="A14" s="1">
        <v>13</v>
      </c>
      <c r="P14" s="3">
        <v>39.340000000000003</v>
      </c>
      <c r="Q14" s="3">
        <v>13.79</v>
      </c>
      <c r="R14" s="3">
        <v>80.45</v>
      </c>
      <c r="S14" s="3">
        <v>77.27</v>
      </c>
      <c r="W14" s="6">
        <v>8.6999999999999993</v>
      </c>
      <c r="X14" s="7">
        <v>19.899999999999999</v>
      </c>
      <c r="Y14" s="7">
        <f t="shared" si="0"/>
        <v>28.599999999999998</v>
      </c>
      <c r="Z14" s="7">
        <v>6.2</v>
      </c>
      <c r="AA14" s="7">
        <v>9.1999999999999993</v>
      </c>
      <c r="AB14" s="7">
        <v>46.3</v>
      </c>
      <c r="AC14" s="7">
        <v>9.6999999999999993</v>
      </c>
      <c r="AE14" s="7">
        <v>10.5</v>
      </c>
      <c r="AF14" s="7">
        <v>20.7</v>
      </c>
    </row>
    <row r="15" spans="1:35">
      <c r="A15" s="1">
        <v>14</v>
      </c>
      <c r="B15" s="2" t="s">
        <v>110</v>
      </c>
      <c r="C15" s="1">
        <v>0.83</v>
      </c>
      <c r="D15" s="1">
        <v>120</v>
      </c>
      <c r="E15" s="1">
        <v>2</v>
      </c>
      <c r="P15" s="3">
        <v>40.950000000000003</v>
      </c>
      <c r="Q15" s="3">
        <v>19.16</v>
      </c>
      <c r="R15" s="3">
        <v>81.16</v>
      </c>
      <c r="S15" s="3">
        <v>79.11</v>
      </c>
    </row>
    <row r="16" spans="1:35">
      <c r="A16" s="1">
        <v>15</v>
      </c>
      <c r="B16" s="2" t="s">
        <v>110</v>
      </c>
      <c r="C16" s="1">
        <v>0.83</v>
      </c>
      <c r="D16" s="1">
        <v>120</v>
      </c>
      <c r="E16" s="1">
        <v>2</v>
      </c>
      <c r="P16" s="3">
        <v>39.75</v>
      </c>
      <c r="Q16" s="3">
        <v>18.32</v>
      </c>
      <c r="R16" s="3">
        <v>79.47</v>
      </c>
      <c r="S16" s="3">
        <v>78.900000000000006</v>
      </c>
    </row>
    <row r="17" spans="1:35">
      <c r="A17" s="1">
        <v>16</v>
      </c>
      <c r="B17" s="2" t="s">
        <v>110</v>
      </c>
      <c r="C17" s="1">
        <v>0.83</v>
      </c>
      <c r="D17" s="1">
        <v>120</v>
      </c>
      <c r="E17" s="1">
        <v>2</v>
      </c>
      <c r="P17" s="3">
        <v>40.56</v>
      </c>
      <c r="Q17" s="3">
        <v>15.37</v>
      </c>
      <c r="R17" s="3">
        <v>78.69</v>
      </c>
      <c r="S17" s="3">
        <v>77.89</v>
      </c>
    </row>
    <row r="18" spans="1:35">
      <c r="A18" s="1">
        <v>17</v>
      </c>
      <c r="P18" s="3">
        <v>36.96</v>
      </c>
      <c r="Q18" s="3">
        <v>11.79</v>
      </c>
      <c r="R18" s="3">
        <v>73.239999999999995</v>
      </c>
      <c r="S18" s="3">
        <v>69.78</v>
      </c>
      <c r="Y18" s="7">
        <v>27.3</v>
      </c>
      <c r="Z18" s="7">
        <v>1.3</v>
      </c>
      <c r="AA18" s="7">
        <v>4.2</v>
      </c>
      <c r="AB18" s="7">
        <v>59.6</v>
      </c>
      <c r="AC18" s="7">
        <v>7.7</v>
      </c>
    </row>
    <row r="19" spans="1:35">
      <c r="A19" s="1">
        <v>18</v>
      </c>
      <c r="P19" s="3">
        <v>36.46</v>
      </c>
      <c r="Q19" s="3">
        <v>17.559999999999999</v>
      </c>
      <c r="R19" s="3">
        <v>76.78</v>
      </c>
      <c r="S19" s="3">
        <v>78.39</v>
      </c>
      <c r="Y19" s="7">
        <v>14.4</v>
      </c>
      <c r="Z19" s="7">
        <v>32.799999999999997</v>
      </c>
      <c r="AB19" s="7">
        <v>38.299999999999997</v>
      </c>
      <c r="AC19" s="7">
        <v>14.6</v>
      </c>
    </row>
    <row r="20" spans="1:35">
      <c r="A20" s="1">
        <v>19</v>
      </c>
      <c r="P20" s="3">
        <v>37.65</v>
      </c>
      <c r="Q20" s="3">
        <v>10.91</v>
      </c>
      <c r="R20" s="3">
        <v>80.33</v>
      </c>
      <c r="S20" s="3">
        <v>77.53</v>
      </c>
      <c r="Y20" s="7">
        <v>32.299999999999997</v>
      </c>
      <c r="Z20" s="7">
        <v>9.5</v>
      </c>
      <c r="AB20" s="7">
        <v>58.3</v>
      </c>
    </row>
    <row r="21" spans="1:35">
      <c r="A21" s="1">
        <v>20</v>
      </c>
      <c r="P21" s="3">
        <v>39.46</v>
      </c>
      <c r="Q21" s="3">
        <v>11.49</v>
      </c>
      <c r="R21" s="3">
        <v>78.900000000000006</v>
      </c>
      <c r="S21" s="3">
        <v>76.31</v>
      </c>
      <c r="Y21" s="7">
        <v>33.299999999999997</v>
      </c>
      <c r="Z21" s="7">
        <v>7.2</v>
      </c>
      <c r="AB21" s="7">
        <v>53.9</v>
      </c>
      <c r="AC21" s="7">
        <v>5.6</v>
      </c>
    </row>
    <row r="22" spans="1:35">
      <c r="A22" s="1">
        <v>21</v>
      </c>
      <c r="P22" s="3">
        <v>41.42</v>
      </c>
      <c r="Q22" s="3">
        <v>12.53</v>
      </c>
      <c r="R22" s="3">
        <v>78.33</v>
      </c>
      <c r="S22" s="3">
        <v>75.81</v>
      </c>
      <c r="W22" s="11"/>
      <c r="X22" s="12"/>
      <c r="Y22" s="12">
        <v>29.3</v>
      </c>
      <c r="Z22" s="12">
        <v>5.7</v>
      </c>
      <c r="AA22" s="12">
        <v>2.8</v>
      </c>
      <c r="AB22" s="12">
        <v>57.1</v>
      </c>
      <c r="AC22" s="12">
        <v>5.0999999999999996</v>
      </c>
      <c r="AE22" s="12"/>
      <c r="AF22" s="12"/>
      <c r="AH22" s="11"/>
      <c r="AI22" s="12"/>
    </row>
    <row r="23" spans="1:35">
      <c r="A23" s="1">
        <v>22</v>
      </c>
    </row>
    <row r="24" spans="1:35">
      <c r="A24" s="1">
        <v>23</v>
      </c>
    </row>
    <row r="25" spans="1:35">
      <c r="A25" s="1">
        <v>24</v>
      </c>
    </row>
    <row r="26" spans="1:35">
      <c r="A26" s="1">
        <v>25</v>
      </c>
    </row>
    <row r="27" spans="1:35">
      <c r="A27" s="1">
        <v>26</v>
      </c>
    </row>
    <row r="28" spans="1:35">
      <c r="A28" s="1">
        <v>27</v>
      </c>
    </row>
    <row r="29" spans="1:35">
      <c r="A29" s="1">
        <v>28</v>
      </c>
    </row>
    <row r="30" spans="1:35">
      <c r="A30" s="1">
        <v>29</v>
      </c>
    </row>
    <row r="31" spans="1:35">
      <c r="A31" s="1">
        <v>30</v>
      </c>
    </row>
    <row r="32" spans="1:35">
      <c r="A32" s="1">
        <v>31</v>
      </c>
    </row>
    <row r="33" spans="1:35">
      <c r="A33" s="1">
        <v>32</v>
      </c>
    </row>
    <row r="34" spans="1:35">
      <c r="A34" s="1">
        <v>33</v>
      </c>
    </row>
    <row r="35" spans="1:35">
      <c r="A35" s="1">
        <v>34</v>
      </c>
    </row>
    <row r="36" spans="1:35">
      <c r="A36" s="1">
        <v>35</v>
      </c>
    </row>
    <row r="37" spans="1:35">
      <c r="A37" s="1">
        <v>36</v>
      </c>
    </row>
    <row r="38" spans="1:35">
      <c r="A38" s="1">
        <v>37</v>
      </c>
    </row>
    <row r="39" spans="1:35">
      <c r="A39" s="1">
        <v>38</v>
      </c>
    </row>
    <row r="40" spans="1:35">
      <c r="A40" s="1">
        <v>39</v>
      </c>
    </row>
    <row r="41" spans="1:35">
      <c r="A41" s="1">
        <v>40</v>
      </c>
    </row>
    <row r="42" spans="1:35">
      <c r="A42" s="1">
        <v>41</v>
      </c>
    </row>
    <row r="43" spans="1:35">
      <c r="A43" s="1">
        <v>42</v>
      </c>
    </row>
    <row r="44" spans="1:35">
      <c r="A44" s="1">
        <v>43</v>
      </c>
      <c r="W44" s="13"/>
      <c r="X44" s="14"/>
      <c r="Y44" s="14"/>
      <c r="Z44" s="14"/>
      <c r="AA44" s="14"/>
      <c r="AB44" s="14"/>
      <c r="AC44" s="14"/>
      <c r="AE44" s="14"/>
      <c r="AF44" s="14"/>
      <c r="AH44" s="13"/>
      <c r="AI44" s="14"/>
    </row>
    <row r="45" spans="1:35">
      <c r="A45" s="1">
        <v>44</v>
      </c>
    </row>
    <row r="46" spans="1:35">
      <c r="W46" s="13"/>
      <c r="X46" s="14"/>
      <c r="Y46" s="14"/>
      <c r="Z46" s="14"/>
      <c r="AA46" s="14"/>
      <c r="AB46" s="14"/>
      <c r="AC46" s="14"/>
      <c r="AE46" s="14">
        <v>20.3</v>
      </c>
      <c r="AF46" s="14">
        <v>11.5</v>
      </c>
      <c r="AH46" s="13"/>
      <c r="AI46" s="14"/>
    </row>
    <row r="47" spans="1:35">
      <c r="AE47" s="7">
        <v>3.1</v>
      </c>
      <c r="AF47" s="7">
        <v>2.5</v>
      </c>
    </row>
    <row r="51" spans="23:35">
      <c r="W51" s="11"/>
      <c r="X51" s="12"/>
      <c r="Y51" s="12"/>
      <c r="Z51" s="12"/>
      <c r="AA51" s="12"/>
      <c r="AB51" s="12"/>
      <c r="AC51" s="12"/>
      <c r="AE51" s="12"/>
      <c r="AF51" s="12"/>
      <c r="AH51" s="11"/>
      <c r="AI51" s="12"/>
    </row>
    <row r="52" spans="23:35">
      <c r="W52" s="13"/>
      <c r="X52" s="14"/>
      <c r="Y52" s="14"/>
      <c r="Z52" s="14"/>
      <c r="AA52" s="14"/>
      <c r="AB52" s="14"/>
      <c r="AC52" s="14"/>
      <c r="AE52" s="14">
        <v>37</v>
      </c>
      <c r="AF52" s="14">
        <v>30.5</v>
      </c>
      <c r="AH52" s="13"/>
      <c r="AI52" s="14"/>
    </row>
    <row r="53" spans="23:35">
      <c r="AE53" s="7">
        <v>51.5</v>
      </c>
      <c r="AF53" s="7">
        <v>30.3</v>
      </c>
    </row>
    <row r="54" spans="23:35">
      <c r="AE54" s="7">
        <v>54</v>
      </c>
      <c r="AF54" s="7">
        <v>32</v>
      </c>
    </row>
    <row r="66" spans="23:35">
      <c r="W66" s="11"/>
      <c r="X66" s="12"/>
      <c r="Y66" s="12"/>
      <c r="Z66" s="12"/>
      <c r="AA66" s="12"/>
      <c r="AB66" s="12"/>
      <c r="AC66" s="12"/>
      <c r="AE66" s="12"/>
      <c r="AF66" s="12"/>
      <c r="AH66" s="11"/>
      <c r="AI66" s="12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4"/>
  <sheetViews>
    <sheetView workbookViewId="0">
      <selection sqref="A1:XFD1"/>
    </sheetView>
  </sheetViews>
  <sheetFormatPr defaultColWidth="9" defaultRowHeight="14.15"/>
  <sheetData>
    <row r="1" spans="1:47" s="1" customFormat="1">
      <c r="A1" s="2">
        <v>0.67</v>
      </c>
      <c r="D1" s="1">
        <v>250</v>
      </c>
      <c r="E1" s="1">
        <v>1.5</v>
      </c>
      <c r="F1" s="1" t="s">
        <v>114</v>
      </c>
      <c r="H1" s="5">
        <v>94.32</v>
      </c>
      <c r="I1" s="3">
        <v>0.33</v>
      </c>
      <c r="J1" s="3">
        <v>14.14</v>
      </c>
      <c r="K1" s="3"/>
      <c r="L1" s="5"/>
      <c r="M1" s="3"/>
      <c r="N1" s="3"/>
      <c r="O1" s="3"/>
      <c r="P1" s="6">
        <v>32.9</v>
      </c>
      <c r="Q1" s="7">
        <v>67.099999999999994</v>
      </c>
      <c r="R1" s="6"/>
      <c r="S1" s="7"/>
      <c r="T1" s="7"/>
      <c r="U1" s="7"/>
      <c r="V1" s="7"/>
      <c r="W1" s="7"/>
      <c r="X1" s="7"/>
      <c r="Y1" s="6"/>
      <c r="Z1" s="7"/>
      <c r="AA1" s="7"/>
      <c r="AB1" s="7"/>
      <c r="AC1" s="7"/>
      <c r="AD1" s="7"/>
      <c r="AE1" s="7"/>
      <c r="AF1" s="6"/>
      <c r="AG1" s="7"/>
      <c r="AH1" s="7"/>
      <c r="AI1" s="7"/>
      <c r="AJ1" s="7"/>
      <c r="AK1" s="7"/>
      <c r="AL1" s="7"/>
      <c r="AM1" s="5"/>
      <c r="AN1" s="3"/>
      <c r="AO1" s="3"/>
      <c r="AP1" s="3"/>
      <c r="AQ1" s="3"/>
      <c r="AR1" s="3"/>
      <c r="AS1" s="3"/>
      <c r="AT1" s="3"/>
      <c r="AU1" s="3"/>
    </row>
    <row r="4" spans="1:47">
      <c r="B4" s="3"/>
      <c r="C4" s="3"/>
      <c r="D4" s="4"/>
    </row>
    <row r="5" spans="1:47">
      <c r="B5" s="3"/>
      <c r="C5" s="3"/>
      <c r="D5" s="4"/>
    </row>
    <row r="6" spans="1:47">
      <c r="B6" s="3"/>
      <c r="C6" s="3"/>
      <c r="D6" s="4"/>
    </row>
    <row r="7" spans="1:47">
      <c r="B7" s="3"/>
      <c r="C7" s="3"/>
      <c r="D7" s="4"/>
    </row>
    <row r="8" spans="1:47">
      <c r="B8" s="3"/>
      <c r="C8" s="3"/>
      <c r="D8" s="4"/>
    </row>
    <row r="9" spans="1:47">
      <c r="B9" s="3"/>
      <c r="C9" s="3"/>
      <c r="D9" s="4"/>
    </row>
    <row r="10" spans="1:47">
      <c r="B10" s="3"/>
      <c r="C10" s="3"/>
      <c r="D10" s="4"/>
    </row>
    <row r="11" spans="1:47">
      <c r="B11" s="3"/>
      <c r="C11" s="3"/>
      <c r="D11" s="4"/>
    </row>
    <row r="12" spans="1:47">
      <c r="B12" s="3"/>
      <c r="C12" s="3"/>
      <c r="D12" s="4"/>
    </row>
    <row r="13" spans="1:47">
      <c r="B13" s="3"/>
      <c r="C13" s="3"/>
      <c r="D13" s="4"/>
    </row>
    <row r="14" spans="1:47">
      <c r="B14" s="3"/>
      <c r="C14" s="3"/>
      <c r="D14" s="4"/>
    </row>
    <row r="15" spans="1:47">
      <c r="B15" s="3"/>
      <c r="C15" s="3"/>
      <c r="D15" s="4"/>
    </row>
    <row r="16" spans="1:47">
      <c r="B16" s="3"/>
      <c r="C16" s="3"/>
      <c r="D16" s="4"/>
    </row>
    <row r="17" spans="2:4">
      <c r="B17" s="3"/>
      <c r="C17" s="3"/>
      <c r="D17" s="4"/>
    </row>
    <row r="18" spans="2:4">
      <c r="B18" s="3"/>
      <c r="C18" s="3"/>
      <c r="D18" s="4"/>
    </row>
    <row r="19" spans="2:4">
      <c r="B19" s="3"/>
      <c r="C19" s="3"/>
      <c r="D19" s="4"/>
    </row>
    <row r="20" spans="2:4">
      <c r="B20" s="3"/>
      <c r="C20" s="3"/>
      <c r="D20" s="4"/>
    </row>
    <row r="21" spans="2:4">
      <c r="B21" s="3"/>
      <c r="C21" s="3"/>
      <c r="D21" s="4"/>
    </row>
    <row r="22" spans="2:4">
      <c r="B22" s="3"/>
      <c r="C22" s="3"/>
      <c r="D22" s="4"/>
    </row>
    <row r="23" spans="2:4">
      <c r="B23" s="3"/>
      <c r="C23" s="3"/>
      <c r="D23" s="4"/>
    </row>
    <row r="24" spans="2:4">
      <c r="B24" s="3"/>
      <c r="C24" s="3"/>
      <c r="D24" s="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Sheet1</vt:lpstr>
      <vt:lpstr>汇总</vt:lpstr>
      <vt:lpstr>多余竖列</vt:lpstr>
      <vt:lpstr>多余横列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Reminiscence</dc:creator>
  <cp:lastModifiedBy>一一 许</cp:lastModifiedBy>
  <dcterms:created xsi:type="dcterms:W3CDTF">2015-06-06T18:19:00Z</dcterms:created>
  <dcterms:modified xsi:type="dcterms:W3CDTF">2026-01-08T06:51:26Z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0F4E4BD124C14C8689661BA685125AD9_12</vt:lpwstr>
  </property>
  <property fmtid="{D5CDD505-2E9C-101B-9397-08002B2CF9AE}" pid="3" name="KSOProductBuildVer">
    <vt:lpwstr>2052-6.6.1.8808</vt:lpwstr>
  </property>
</Properties>
</file>